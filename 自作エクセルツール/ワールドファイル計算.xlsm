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便利ツール\エクセル系\"/>
    </mc:Choice>
  </mc:AlternateContent>
  <bookViews>
    <workbookView xWindow="0" yWindow="0" windowWidth="28800" windowHeight="12315" activeTab="1"/>
  </bookViews>
  <sheets>
    <sheet name="TFW作成" sheetId="6" r:id="rId1"/>
    <sheet name="入力例" sheetId="7" r:id="rId2"/>
    <sheet name="角度計算" sheetId="8" r:id="rId3"/>
  </sheets>
  <definedNames>
    <definedName name="_xlnm._FilterDatabase" localSheetId="0" hidden="1">TFW作成!$A$3:$N$3</definedName>
    <definedName name="_xlnm.Database" localSheetId="1">#REF!</definedName>
    <definedName name="_xlnm.Databas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7" l="1"/>
  <c r="D7" i="7"/>
  <c r="H7" i="7" l="1"/>
  <c r="G7" i="7"/>
  <c r="F7" i="7"/>
  <c r="C7" i="7"/>
  <c r="M5" i="7"/>
  <c r="Y2" i="8"/>
  <c r="X2" i="8"/>
  <c r="V2" i="8" s="1"/>
  <c r="W2" i="8"/>
  <c r="U2" i="8"/>
  <c r="T2" i="8"/>
  <c r="Q2" i="8"/>
  <c r="P2" i="8"/>
  <c r="O2" i="8"/>
  <c r="N2" i="8"/>
  <c r="B16" i="8"/>
  <c r="B13" i="8"/>
  <c r="B19" i="8" l="1"/>
  <c r="B12" i="8" l="1"/>
  <c r="B10" i="8" l="1"/>
  <c r="B21" i="8"/>
  <c r="B17" i="8" s="1"/>
  <c r="B20" i="8"/>
  <c r="B18" i="8" s="1"/>
  <c r="B11" i="8"/>
  <c r="N5" i="7" l="1"/>
</calcChain>
</file>

<file path=xl/sharedStrings.xml><?xml version="1.0" encoding="utf-8"?>
<sst xmlns="http://schemas.openxmlformats.org/spreadsheetml/2006/main" count="575" uniqueCount="525">
  <si>
    <t>ファイル名(フルパス)</t>
  </si>
  <si>
    <t>図郭</t>
  </si>
  <si>
    <t>TFW</t>
  </si>
  <si>
    <t>解像度</t>
  </si>
  <si>
    <t>左上の座標</t>
  </si>
  <si>
    <t>右下の座標</t>
  </si>
  <si>
    <t>縦</t>
  </si>
  <si>
    <t>横</t>
  </si>
  <si>
    <t>X</t>
  </si>
  <si>
    <t>Y</t>
  </si>
  <si>
    <t>TFW1=(右下Y-左上Y)/解像度横</t>
    <rPh sb="6" eb="8">
      <t>ミギシタ</t>
    </rPh>
    <rPh sb="10" eb="12">
      <t>ヒダリウエ</t>
    </rPh>
    <rPh sb="15" eb="18">
      <t>カイゾウド</t>
    </rPh>
    <rPh sb="18" eb="19">
      <t>ヨコ</t>
    </rPh>
    <phoneticPr fontId="1"/>
  </si>
  <si>
    <t>解像度横*TFW1=(右下Y-左上Y)</t>
    <rPh sb="0" eb="3">
      <t>カイゾウド</t>
    </rPh>
    <rPh sb="3" eb="4">
      <t>ヨコ</t>
    </rPh>
    <phoneticPr fontId="1"/>
  </si>
  <si>
    <t>解像度横=(右下Y-左上Y)/TFW1</t>
    <rPh sb="0" eb="3">
      <t>カイゾウド</t>
    </rPh>
    <rPh sb="3" eb="4">
      <t>ヨコ</t>
    </rPh>
    <phoneticPr fontId="1"/>
  </si>
  <si>
    <t>TFW4=-(ABS(右下X)-ABS(左上X))/解像度縦</t>
    <rPh sb="11" eb="13">
      <t>ミギシタ</t>
    </rPh>
    <rPh sb="20" eb="22">
      <t>ヒダリウエ</t>
    </rPh>
    <rPh sb="26" eb="29">
      <t>カイゾウド</t>
    </rPh>
    <rPh sb="29" eb="30">
      <t>タテ</t>
    </rPh>
    <phoneticPr fontId="1"/>
  </si>
  <si>
    <t>TFW4*解像度縦=-(ABS(右下X)-ABS(左上X))</t>
    <rPh sb="16" eb="18">
      <t>ミギシタ</t>
    </rPh>
    <rPh sb="25" eb="27">
      <t>ヒダリウエ</t>
    </rPh>
    <phoneticPr fontId="1"/>
  </si>
  <si>
    <t>解像度縦=-(ABS(右下X)-ABS(左上X))/TFW4</t>
    <rPh sb="11" eb="13">
      <t>ミギシタ</t>
    </rPh>
    <rPh sb="20" eb="22">
      <t>ヒダリウエ</t>
    </rPh>
    <phoneticPr fontId="1"/>
  </si>
  <si>
    <t>右上の座標</t>
  </si>
  <si>
    <t>左下の座標</t>
  </si>
  <si>
    <t>17-05</t>
  </si>
  <si>
    <t>解像度_縦</t>
    <rPh sb="0" eb="3">
      <t>カイゾウド</t>
    </rPh>
    <rPh sb="4" eb="5">
      <t>タテ</t>
    </rPh>
    <phoneticPr fontId="21"/>
  </si>
  <si>
    <t>解像度_横</t>
    <rPh sb="0" eb="3">
      <t>カイゾウド</t>
    </rPh>
    <rPh sb="4" eb="5">
      <t>ヨコ</t>
    </rPh>
    <phoneticPr fontId="21"/>
  </si>
  <si>
    <t>左上から右上の角度</t>
    <rPh sb="0" eb="1">
      <t>ヒダリ</t>
    </rPh>
    <rPh sb="1" eb="2">
      <t>ウエ</t>
    </rPh>
    <rPh sb="4" eb="6">
      <t>ミギウエ</t>
    </rPh>
    <rPh sb="7" eb="9">
      <t>カクド</t>
    </rPh>
    <phoneticPr fontId="21"/>
  </si>
  <si>
    <t>縦</t>
    <rPh sb="0" eb="1">
      <t>タテ</t>
    </rPh>
    <phoneticPr fontId="21"/>
  </si>
  <si>
    <t>横</t>
    <rPh sb="0" eb="1">
      <t>ヨコ</t>
    </rPh>
    <phoneticPr fontId="21"/>
  </si>
  <si>
    <t>TFW6</t>
  </si>
  <si>
    <t>右下の座標Y</t>
    <rPh sb="0" eb="2">
      <t>ミギシタ</t>
    </rPh>
    <rPh sb="3" eb="5">
      <t>ザヒョウ</t>
    </rPh>
    <phoneticPr fontId="21"/>
  </si>
  <si>
    <t>TFW5</t>
  </si>
  <si>
    <t>右下の座標X</t>
    <rPh sb="0" eb="2">
      <t>ミギシタ</t>
    </rPh>
    <rPh sb="3" eb="5">
      <t>ザヒョウ</t>
    </rPh>
    <phoneticPr fontId="21"/>
  </si>
  <si>
    <t>TFW4</t>
  </si>
  <si>
    <t>右上の座標Y</t>
    <rPh sb="0" eb="2">
      <t>ミギウエ</t>
    </rPh>
    <rPh sb="3" eb="5">
      <t>ザヒョウ</t>
    </rPh>
    <phoneticPr fontId="21"/>
  </si>
  <si>
    <t>TFW3</t>
  </si>
  <si>
    <t>右上の座標X</t>
    <rPh sb="0" eb="2">
      <t>ミギウエ</t>
    </rPh>
    <rPh sb="3" eb="5">
      <t>ザヒョウ</t>
    </rPh>
    <phoneticPr fontId="21"/>
  </si>
  <si>
    <t>TFW2</t>
  </si>
  <si>
    <t>左上の座標Y</t>
    <rPh sb="0" eb="2">
      <t>ヒダリウエ</t>
    </rPh>
    <rPh sb="3" eb="5">
      <t>ザヒョウ</t>
    </rPh>
    <phoneticPr fontId="21"/>
  </si>
  <si>
    <t>TFW1</t>
    <phoneticPr fontId="21"/>
  </si>
  <si>
    <t>左上の座標X</t>
    <rPh sb="0" eb="2">
      <t>ヒダリウエ</t>
    </rPh>
    <rPh sb="3" eb="5">
      <t>ザヒョウ</t>
    </rPh>
    <phoneticPr fontId="21"/>
  </si>
  <si>
    <t>Mapno</t>
  </si>
  <si>
    <t>01-04</t>
  </si>
  <si>
    <t>01-05</t>
  </si>
  <si>
    <t>01-06</t>
  </si>
  <si>
    <t>02-04</t>
  </si>
  <si>
    <t>02-05</t>
  </si>
  <si>
    <t>02-06</t>
  </si>
  <si>
    <t>02-07</t>
  </si>
  <si>
    <t>02-08</t>
  </si>
  <si>
    <t>02-09</t>
  </si>
  <si>
    <t>03-09</t>
  </si>
  <si>
    <t>03-04</t>
  </si>
  <si>
    <t>03-05</t>
  </si>
  <si>
    <t>03-06</t>
  </si>
  <si>
    <t>03-07</t>
  </si>
  <si>
    <t>03-08</t>
  </si>
  <si>
    <t>03-03</t>
  </si>
  <si>
    <t>03-11</t>
  </si>
  <si>
    <t>03-10</t>
  </si>
  <si>
    <t>04-11</t>
  </si>
  <si>
    <t>04-09</t>
  </si>
  <si>
    <t>04-04</t>
  </si>
  <si>
    <t>04-05</t>
  </si>
  <si>
    <t>04-06</t>
  </si>
  <si>
    <t>04-07</t>
  </si>
  <si>
    <t>04-08</t>
  </si>
  <si>
    <t>04-03</t>
  </si>
  <si>
    <t>04-10</t>
  </si>
  <si>
    <t>04-02</t>
  </si>
  <si>
    <t>05-11</t>
  </si>
  <si>
    <t>05-09</t>
  </si>
  <si>
    <t>05-04</t>
  </si>
  <si>
    <t>05-05</t>
  </si>
  <si>
    <t>05-06</t>
  </si>
  <si>
    <t>05-07</t>
  </si>
  <si>
    <t>05-08</t>
  </si>
  <si>
    <t>05-03</t>
  </si>
  <si>
    <t>05-10</t>
  </si>
  <si>
    <t>05-02</t>
  </si>
  <si>
    <t>06-02</t>
  </si>
  <si>
    <t>06-11</t>
  </si>
  <si>
    <t>06-09</t>
  </si>
  <si>
    <t>06-04</t>
  </si>
  <si>
    <t>06-05</t>
  </si>
  <si>
    <t>06-06</t>
  </si>
  <si>
    <t>06-07</t>
  </si>
  <si>
    <t>06-08</t>
  </si>
  <si>
    <t>06-03</t>
  </si>
  <si>
    <t>06-10</t>
  </si>
  <si>
    <t>07-10</t>
  </si>
  <si>
    <t>07-02</t>
  </si>
  <si>
    <t>07-11</t>
  </si>
  <si>
    <t>07-09</t>
  </si>
  <si>
    <t>07-04</t>
  </si>
  <si>
    <t>07-05</t>
  </si>
  <si>
    <t>07-06</t>
  </si>
  <si>
    <t>07-07</t>
  </si>
  <si>
    <t>07-08</t>
  </si>
  <si>
    <t>07-03</t>
  </si>
  <si>
    <t>08-03</t>
  </si>
  <si>
    <t>08-10</t>
  </si>
  <si>
    <t>08-02</t>
  </si>
  <si>
    <t>08-11</t>
  </si>
  <si>
    <t>08-09</t>
  </si>
  <si>
    <t>08-04</t>
  </si>
  <si>
    <t>08-05</t>
  </si>
  <si>
    <t>08-06</t>
  </si>
  <si>
    <t>08-07</t>
  </si>
  <si>
    <t>08-08</t>
  </si>
  <si>
    <t>07-13</t>
  </si>
  <si>
    <t>07-12</t>
  </si>
  <si>
    <t>08-12</t>
  </si>
  <si>
    <t>09-11</t>
  </si>
  <si>
    <t>09-03</t>
  </si>
  <si>
    <t>09-10</t>
  </si>
  <si>
    <t>09-13</t>
  </si>
  <si>
    <t>09-09</t>
  </si>
  <si>
    <t>09-04</t>
  </si>
  <si>
    <t>09-05</t>
  </si>
  <si>
    <t>09-06</t>
  </si>
  <si>
    <t>09-07</t>
  </si>
  <si>
    <t>09-08</t>
  </si>
  <si>
    <t>09-12</t>
  </si>
  <si>
    <t>10-13</t>
  </si>
  <si>
    <t>10-11</t>
  </si>
  <si>
    <t>10-03</t>
  </si>
  <si>
    <t>10-10</t>
  </si>
  <si>
    <t>10-09</t>
  </si>
  <si>
    <t>10-04</t>
  </si>
  <si>
    <t>10-05</t>
  </si>
  <si>
    <t>10-06</t>
  </si>
  <si>
    <t>10-07</t>
  </si>
  <si>
    <t>10-08</t>
  </si>
  <si>
    <t>10-12</t>
  </si>
  <si>
    <t>10-02</t>
  </si>
  <si>
    <t>11-12</t>
  </si>
  <si>
    <t>11-11</t>
  </si>
  <si>
    <t>11-03</t>
  </si>
  <si>
    <t>11-10</t>
  </si>
  <si>
    <t>11-09</t>
  </si>
  <si>
    <t>11-04</t>
  </si>
  <si>
    <t>11-05</t>
  </si>
  <si>
    <t>11-06</t>
  </si>
  <si>
    <t>11-07</t>
  </si>
  <si>
    <t>11-08</t>
  </si>
  <si>
    <t>11-02</t>
  </si>
  <si>
    <t>11-01</t>
  </si>
  <si>
    <t>12-12</t>
  </si>
  <si>
    <t>12-11</t>
  </si>
  <si>
    <t>12-03</t>
  </si>
  <si>
    <t>12-10</t>
  </si>
  <si>
    <t>12-09</t>
  </si>
  <si>
    <t>12-04</t>
  </si>
  <si>
    <t>12-05</t>
  </si>
  <si>
    <t>12-06</t>
  </si>
  <si>
    <t>12-07</t>
  </si>
  <si>
    <t>12-08</t>
  </si>
  <si>
    <t>12-02</t>
  </si>
  <si>
    <t>12-01</t>
  </si>
  <si>
    <t>13-01</t>
  </si>
  <si>
    <t>13-12</t>
  </si>
  <si>
    <t>13-11</t>
  </si>
  <si>
    <t>13-03</t>
  </si>
  <si>
    <t>13-10</t>
  </si>
  <si>
    <t>13-09</t>
  </si>
  <si>
    <t>13-04</t>
  </si>
  <si>
    <t>13-05</t>
  </si>
  <si>
    <t>13-06</t>
  </si>
  <si>
    <t>13-07</t>
  </si>
  <si>
    <t>13-08</t>
  </si>
  <si>
    <t>13-02</t>
  </si>
  <si>
    <t>14-02</t>
  </si>
  <si>
    <t>14-01</t>
  </si>
  <si>
    <t>14-12</t>
  </si>
  <si>
    <t>14-11</t>
  </si>
  <si>
    <t>14-03</t>
  </si>
  <si>
    <t>14-10</t>
  </si>
  <si>
    <t>14-09</t>
  </si>
  <si>
    <t>14-04</t>
  </si>
  <si>
    <t>14-05</t>
  </si>
  <si>
    <t>14-06</t>
  </si>
  <si>
    <t>14-07</t>
  </si>
  <si>
    <t>14-08</t>
  </si>
  <si>
    <t>15-08</t>
  </si>
  <si>
    <t>15-02</t>
  </si>
  <si>
    <t>15-01</t>
  </si>
  <si>
    <t>15-12</t>
  </si>
  <si>
    <t>15-11</t>
  </si>
  <si>
    <t>15-03</t>
  </si>
  <si>
    <t>15-10</t>
  </si>
  <si>
    <t>15-09</t>
  </si>
  <si>
    <t>15-04</t>
  </si>
  <si>
    <t>15-05</t>
  </si>
  <si>
    <t>15-06</t>
  </si>
  <si>
    <t>15-07</t>
  </si>
  <si>
    <t>16-07</t>
  </si>
  <si>
    <t>16-08</t>
  </si>
  <si>
    <t>16-02</t>
  </si>
  <si>
    <t>16-01</t>
  </si>
  <si>
    <t>16-12</t>
  </si>
  <si>
    <t>16-11</t>
  </si>
  <si>
    <t>16-03</t>
  </si>
  <si>
    <t>16-10</t>
  </si>
  <si>
    <t>16-09</t>
  </si>
  <si>
    <t>16-04</t>
  </si>
  <si>
    <t>16-05</t>
  </si>
  <si>
    <t>16-06</t>
  </si>
  <si>
    <t>17-06</t>
  </si>
  <si>
    <t>17-07</t>
  </si>
  <si>
    <t>17-08</t>
  </si>
  <si>
    <t>17-02</t>
  </si>
  <si>
    <t>17-01</t>
  </si>
  <si>
    <t>17-12</t>
  </si>
  <si>
    <t>17-11</t>
  </si>
  <si>
    <t>17-03</t>
  </si>
  <si>
    <t>17-10</t>
  </si>
  <si>
    <t>17-09</t>
  </si>
  <si>
    <t>17-04</t>
  </si>
  <si>
    <t>14-13</t>
  </si>
  <si>
    <t>18-12</t>
  </si>
  <si>
    <t>18-06</t>
  </si>
  <si>
    <t>18-07</t>
  </si>
  <si>
    <t>18-08</t>
  </si>
  <si>
    <t>18-02</t>
  </si>
  <si>
    <t>18-11</t>
  </si>
  <si>
    <t>18-03</t>
  </si>
  <si>
    <t>18-10</t>
  </si>
  <si>
    <t>18-09</t>
  </si>
  <si>
    <t>18-04</t>
  </si>
  <si>
    <t>18-05</t>
  </si>
  <si>
    <t>19-05</t>
  </si>
  <si>
    <t>19-12</t>
  </si>
  <si>
    <t>19-06</t>
  </si>
  <si>
    <t>19-07</t>
  </si>
  <si>
    <t>19-08</t>
  </si>
  <si>
    <t>19-02</t>
  </si>
  <si>
    <t>19-11</t>
  </si>
  <si>
    <t>19-03</t>
  </si>
  <si>
    <t>19-10</t>
  </si>
  <si>
    <t>19-09</t>
  </si>
  <si>
    <t>19-04</t>
  </si>
  <si>
    <t>20-10</t>
  </si>
  <si>
    <t>20-05</t>
  </si>
  <si>
    <t>20-06</t>
  </si>
  <si>
    <t>20-07</t>
  </si>
  <si>
    <t>20-08</t>
  </si>
  <si>
    <t>20-02</t>
  </si>
  <si>
    <t>20-03</t>
  </si>
  <si>
    <t>20-09</t>
  </si>
  <si>
    <t>20-04</t>
  </si>
  <si>
    <t>21-09</t>
  </si>
  <si>
    <t>21-05</t>
  </si>
  <si>
    <t>21-06</t>
  </si>
  <si>
    <t>21-07</t>
  </si>
  <si>
    <t>21-08</t>
  </si>
  <si>
    <t>21-02</t>
  </si>
  <si>
    <t>21-03</t>
  </si>
  <si>
    <t>21-04</t>
  </si>
  <si>
    <t>22-09</t>
  </si>
  <si>
    <t>22-05</t>
  </si>
  <si>
    <t>22-06</t>
  </si>
  <si>
    <t>22-07</t>
  </si>
  <si>
    <t>22-08</t>
  </si>
  <si>
    <t>22-02</t>
  </si>
  <si>
    <t>22-03</t>
  </si>
  <si>
    <t>22-04</t>
  </si>
  <si>
    <t>23-08</t>
  </si>
  <si>
    <t>23-05</t>
  </si>
  <si>
    <t>23-06</t>
  </si>
  <si>
    <t>23-07</t>
  </si>
  <si>
    <t>23-03</t>
  </si>
  <si>
    <t>23-04</t>
  </si>
  <si>
    <t>24-07</t>
  </si>
  <si>
    <t>24-05</t>
  </si>
  <si>
    <t>24-06</t>
  </si>
  <si>
    <t>24-04</t>
  </si>
  <si>
    <t>25-06</t>
  </si>
  <si>
    <t>25-05</t>
  </si>
  <si>
    <t>25-04</t>
  </si>
  <si>
    <t>26-06</t>
  </si>
  <si>
    <t>26-05</t>
  </si>
  <si>
    <t>27-06</t>
  </si>
  <si>
    <t>27-05</t>
  </si>
  <si>
    <t>左上から左下の角度</t>
    <rPh sb="0" eb="1">
      <t>ヒダリ</t>
    </rPh>
    <rPh sb="1" eb="2">
      <t>ウエ</t>
    </rPh>
    <rPh sb="4" eb="5">
      <t>ヒダリ</t>
    </rPh>
    <rPh sb="5" eb="6">
      <t>シタ</t>
    </rPh>
    <rPh sb="7" eb="9">
      <t>カクド</t>
    </rPh>
    <phoneticPr fontId="21"/>
  </si>
  <si>
    <t>左下の座標X</t>
    <rPh sb="0" eb="2">
      <t>ヒダリシタ</t>
    </rPh>
    <rPh sb="3" eb="5">
      <t>ザヒョウ</t>
    </rPh>
    <phoneticPr fontId="21"/>
  </si>
  <si>
    <t>左下の座標Y</t>
    <rPh sb="0" eb="2">
      <t>ヒダリシタ</t>
    </rPh>
    <rPh sb="3" eb="5">
      <t>ザヒョウ</t>
    </rPh>
    <phoneticPr fontId="21"/>
  </si>
  <si>
    <t>D:\滝川市\20200617_図面幾何補正\幾何補正後\NG_計算_ワールドファイル\01-04.tfw</t>
  </si>
  <si>
    <t>D:\滝川市\20200617_図面幾何補正\幾何補正後\NG_計算_ワールドファイル\01-05.tfw</t>
  </si>
  <si>
    <t>D:\滝川市\20200617_図面幾何補正\幾何補正後\NG_計算_ワールドファイル\01-06.tfw</t>
  </si>
  <si>
    <t>D:\滝川市\20200617_図面幾何補正\幾何補正後\NG_計算_ワールドファイル\02-04.tfw</t>
  </si>
  <si>
    <t>D:\滝川市\20200617_図面幾何補正\幾何補正後\NG_計算_ワールドファイル\02-05.tfw</t>
  </si>
  <si>
    <t>D:\滝川市\20200617_図面幾何補正\幾何補正後\NG_計算_ワールドファイル\02-06.tfw</t>
  </si>
  <si>
    <t>D:\滝川市\20200617_図面幾何補正\幾何補正後\NG_計算_ワールドファイル\02-07.tfw</t>
  </si>
  <si>
    <t>D:\滝川市\20200617_図面幾何補正\幾何補正後\NG_計算_ワールドファイル\02-08.tfw</t>
  </si>
  <si>
    <t>D:\滝川市\20200617_図面幾何補正\幾何補正後\NG_計算_ワールドファイル\02-09.tfw</t>
  </si>
  <si>
    <t>D:\滝川市\20200617_図面幾何補正\幾何補正後\NG_計算_ワールドファイル\03-03.tfw</t>
  </si>
  <si>
    <t>D:\滝川市\20200617_図面幾何補正\幾何補正後\NG_計算_ワールドファイル\03-04.tfw</t>
  </si>
  <si>
    <t>D:\滝川市\20200617_図面幾何補正\幾何補正後\NG_計算_ワールドファイル\03-05.tfw</t>
  </si>
  <si>
    <t>D:\滝川市\20200617_図面幾何補正\幾何補正後\NG_計算_ワールドファイル\03-06.tfw</t>
  </si>
  <si>
    <t>D:\滝川市\20200617_図面幾何補正\幾何補正後\NG_計算_ワールドファイル\03-07.tfw</t>
  </si>
  <si>
    <t>D:\滝川市\20200617_図面幾何補正\幾何補正後\NG_計算_ワールドファイル\03-08.tfw</t>
  </si>
  <si>
    <t>D:\滝川市\20200617_図面幾何補正\幾何補正後\NG_計算_ワールドファイル\03-09.tfw</t>
  </si>
  <si>
    <t>D:\滝川市\20200617_図面幾何補正\幾何補正後\NG_計算_ワールドファイル\03-10.tfw</t>
  </si>
  <si>
    <t>D:\滝川市\20200617_図面幾何補正\幾何補正後\NG_計算_ワールドファイル\03-11.tfw</t>
  </si>
  <si>
    <t>D:\滝川市\20200617_図面幾何補正\幾何補正後\NG_計算_ワールドファイル\04-02.tfw</t>
  </si>
  <si>
    <t>D:\滝川市\20200617_図面幾何補正\幾何補正後\NG_計算_ワールドファイル\04-03.tfw</t>
  </si>
  <si>
    <t>D:\滝川市\20200617_図面幾何補正\幾何補正後\NG_計算_ワールドファイル\04-04.tfw</t>
  </si>
  <si>
    <t>D:\滝川市\20200617_図面幾何補正\幾何補正後\NG_計算_ワールドファイル\04-05.tfw</t>
  </si>
  <si>
    <t>D:\滝川市\20200617_図面幾何補正\幾何補正後\NG_計算_ワールドファイル\04-06.tfw</t>
  </si>
  <si>
    <t>D:\滝川市\20200617_図面幾何補正\幾何補正後\NG_計算_ワールドファイル\04-07.tfw</t>
  </si>
  <si>
    <t>D:\滝川市\20200617_図面幾何補正\幾何補正後\NG_計算_ワールドファイル\04-08.tfw</t>
  </si>
  <si>
    <t>D:\滝川市\20200617_図面幾何補正\幾何補正後\NG_計算_ワールドファイル\04-09.tfw</t>
  </si>
  <si>
    <t>D:\滝川市\20200617_図面幾何補正\幾何補正後\NG_計算_ワールドファイル\04-10.tfw</t>
  </si>
  <si>
    <t>D:\滝川市\20200617_図面幾何補正\幾何補正後\NG_計算_ワールドファイル\04-11.tfw</t>
  </si>
  <si>
    <t>D:\滝川市\20200617_図面幾何補正\幾何補正後\NG_計算_ワールドファイル\05-02.tfw</t>
  </si>
  <si>
    <t>D:\滝川市\20200617_図面幾何補正\幾何補正後\NG_計算_ワールドファイル\05-03.tfw</t>
  </si>
  <si>
    <t>D:\滝川市\20200617_図面幾何補正\幾何補正後\NG_計算_ワールドファイル\05-04.tfw</t>
  </si>
  <si>
    <t>D:\滝川市\20200617_図面幾何補正\幾何補正後\NG_計算_ワールドファイル\05-05.tfw</t>
  </si>
  <si>
    <t>D:\滝川市\20200617_図面幾何補正\幾何補正後\NG_計算_ワールドファイル\05-06.tfw</t>
  </si>
  <si>
    <t>D:\滝川市\20200617_図面幾何補正\幾何補正後\NG_計算_ワールドファイル\05-07.tfw</t>
  </si>
  <si>
    <t>D:\滝川市\20200617_図面幾何補正\幾何補正後\NG_計算_ワールドファイル\05-08.tfw</t>
  </si>
  <si>
    <t>D:\滝川市\20200617_図面幾何補正\幾何補正後\NG_計算_ワールドファイル\05-09.tfw</t>
  </si>
  <si>
    <t>D:\滝川市\20200617_図面幾何補正\幾何補正後\NG_計算_ワールドファイル\05-10.tfw</t>
  </si>
  <si>
    <t>D:\滝川市\20200617_図面幾何補正\幾何補正後\NG_計算_ワールドファイル\05-11.tfw</t>
  </si>
  <si>
    <t>D:\滝川市\20200617_図面幾何補正\幾何補正後\NG_計算_ワールドファイル\06-02.tfw</t>
  </si>
  <si>
    <t>D:\滝川市\20200617_図面幾何補正\幾何補正後\NG_計算_ワールドファイル\06-03.tfw</t>
  </si>
  <si>
    <t>D:\滝川市\20200617_図面幾何補正\幾何補正後\NG_計算_ワールドファイル\06-04.tfw</t>
  </si>
  <si>
    <t>D:\滝川市\20200617_図面幾何補正\幾何補正後\NG_計算_ワールドファイル\06-05.tfw</t>
  </si>
  <si>
    <t>D:\滝川市\20200617_図面幾何補正\幾何補正後\NG_計算_ワールドファイル\06-06.tfw</t>
  </si>
  <si>
    <t>D:\滝川市\20200617_図面幾何補正\幾何補正後\NG_計算_ワールドファイル\06-07.tfw</t>
  </si>
  <si>
    <t>D:\滝川市\20200617_図面幾何補正\幾何補正後\NG_計算_ワールドファイル\06-08.tfw</t>
  </si>
  <si>
    <t>D:\滝川市\20200617_図面幾何補正\幾何補正後\NG_計算_ワールドファイル\06-09.tfw</t>
  </si>
  <si>
    <t>D:\滝川市\20200617_図面幾何補正\幾何補正後\NG_計算_ワールドファイル\06-10.tfw</t>
  </si>
  <si>
    <t>D:\滝川市\20200617_図面幾何補正\幾何補正後\NG_計算_ワールドファイル\06-11.tfw</t>
  </si>
  <si>
    <t>D:\滝川市\20200617_図面幾何補正\幾何補正後\NG_計算_ワールドファイル\07-02.tfw</t>
  </si>
  <si>
    <t>D:\滝川市\20200617_図面幾何補正\幾何補正後\NG_計算_ワールドファイル\07-03.tfw</t>
  </si>
  <si>
    <t>D:\滝川市\20200617_図面幾何補正\幾何補正後\NG_計算_ワールドファイル\07-04.tfw</t>
  </si>
  <si>
    <t>D:\滝川市\20200617_図面幾何補正\幾何補正後\NG_計算_ワールドファイル\07-05.tfw</t>
  </si>
  <si>
    <t>D:\滝川市\20200617_図面幾何補正\幾何補正後\NG_計算_ワールドファイル\07-06.tfw</t>
  </si>
  <si>
    <t>D:\滝川市\20200617_図面幾何補正\幾何補正後\NG_計算_ワールドファイル\07-07.tfw</t>
  </si>
  <si>
    <t>D:\滝川市\20200617_図面幾何補正\幾何補正後\NG_計算_ワールドファイル\07-08.tfw</t>
  </si>
  <si>
    <t>D:\滝川市\20200617_図面幾何補正\幾何補正後\NG_計算_ワールドファイル\07-09.tfw</t>
  </si>
  <si>
    <t>D:\滝川市\20200617_図面幾何補正\幾何補正後\NG_計算_ワールドファイル\07-10.tfw</t>
  </si>
  <si>
    <t>D:\滝川市\20200617_図面幾何補正\幾何補正後\NG_計算_ワールドファイル\07-11.tfw</t>
  </si>
  <si>
    <t>D:\滝川市\20200617_図面幾何補正\幾何補正後\NG_計算_ワールドファイル\07-12.tfw</t>
  </si>
  <si>
    <t>D:\滝川市\20200617_図面幾何補正\幾何補正後\NG_計算_ワールドファイル\07-13.tfw</t>
  </si>
  <si>
    <t>D:\滝川市\20200617_図面幾何補正\幾何補正後\NG_計算_ワールドファイル\08-02.tfw</t>
  </si>
  <si>
    <t>D:\滝川市\20200617_図面幾何補正\幾何補正後\NG_計算_ワールドファイル\08-03.tfw</t>
  </si>
  <si>
    <t>D:\滝川市\20200617_図面幾何補正\幾何補正後\NG_計算_ワールドファイル\08-04.tfw</t>
  </si>
  <si>
    <t>D:\滝川市\20200617_図面幾何補正\幾何補正後\NG_計算_ワールドファイル\08-05.tfw</t>
  </si>
  <si>
    <t>D:\滝川市\20200617_図面幾何補正\幾何補正後\NG_計算_ワールドファイル\08-06.tfw</t>
  </si>
  <si>
    <t>D:\滝川市\20200617_図面幾何補正\幾何補正後\NG_計算_ワールドファイル\08-07.tfw</t>
  </si>
  <si>
    <t>D:\滝川市\20200617_図面幾何補正\幾何補正後\NG_計算_ワールドファイル\08-08.tfw</t>
  </si>
  <si>
    <t>D:\滝川市\20200617_図面幾何補正\幾何補正後\NG_計算_ワールドファイル\08-09.tfw</t>
  </si>
  <si>
    <t>D:\滝川市\20200617_図面幾何補正\幾何補正後\NG_計算_ワールドファイル\08-10.tfw</t>
  </si>
  <si>
    <t>D:\滝川市\20200617_図面幾何補正\幾何補正後\NG_計算_ワールドファイル\08-11.tfw</t>
  </si>
  <si>
    <t>D:\滝川市\20200617_図面幾何補正\幾何補正後\NG_計算_ワールドファイル\08-12.tfw</t>
  </si>
  <si>
    <t>D:\滝川市\20200617_図面幾何補正\幾何補正後\NG_計算_ワールドファイル\09-03.tfw</t>
  </si>
  <si>
    <t>D:\滝川市\20200617_図面幾何補正\幾何補正後\NG_計算_ワールドファイル\09-04.tfw</t>
  </si>
  <si>
    <t>D:\滝川市\20200617_図面幾何補正\幾何補正後\NG_計算_ワールドファイル\09-05.tfw</t>
  </si>
  <si>
    <t>D:\滝川市\20200617_図面幾何補正\幾何補正後\NG_計算_ワールドファイル\09-06.tfw</t>
  </si>
  <si>
    <t>D:\滝川市\20200617_図面幾何補正\幾何補正後\NG_計算_ワールドファイル\09-07.tfw</t>
  </si>
  <si>
    <t>D:\滝川市\20200617_図面幾何補正\幾何補正後\NG_計算_ワールドファイル\09-08.tfw</t>
  </si>
  <si>
    <t>D:\滝川市\20200617_図面幾何補正\幾何補正後\NG_計算_ワールドファイル\09-09.tfw</t>
  </si>
  <si>
    <t>D:\滝川市\20200617_図面幾何補正\幾何補正後\NG_計算_ワールドファイル\09-10.tfw</t>
  </si>
  <si>
    <t>D:\滝川市\20200617_図面幾何補正\幾何補正後\NG_計算_ワールドファイル\09-11.tfw</t>
  </si>
  <si>
    <t>D:\滝川市\20200617_図面幾何補正\幾何補正後\NG_計算_ワールドファイル\09-12.tfw</t>
  </si>
  <si>
    <t>D:\滝川市\20200617_図面幾何補正\幾何補正後\NG_計算_ワールドファイル\09-13.tfw</t>
  </si>
  <si>
    <t>D:\滝川市\20200617_図面幾何補正\幾何補正後\NG_計算_ワールドファイル\10-02.tfw</t>
  </si>
  <si>
    <t>D:\滝川市\20200617_図面幾何補正\幾何補正後\NG_計算_ワールドファイル\10-03.tfw</t>
  </si>
  <si>
    <t>D:\滝川市\20200617_図面幾何補正\幾何補正後\NG_計算_ワールドファイル\10-04.tfw</t>
  </si>
  <si>
    <t>D:\滝川市\20200617_図面幾何補正\幾何補正後\NG_計算_ワールドファイル\10-05.tfw</t>
  </si>
  <si>
    <t>D:\滝川市\20200617_図面幾何補正\幾何補正後\NG_計算_ワールドファイル\10-06.tfw</t>
  </si>
  <si>
    <t>D:\滝川市\20200617_図面幾何補正\幾何補正後\NG_計算_ワールドファイル\10-07.tfw</t>
  </si>
  <si>
    <t>D:\滝川市\20200617_図面幾何補正\幾何補正後\NG_計算_ワールドファイル\10-08.tfw</t>
  </si>
  <si>
    <t>D:\滝川市\20200617_図面幾何補正\幾何補正後\NG_計算_ワールドファイル\10-09.tfw</t>
  </si>
  <si>
    <t>D:\滝川市\20200617_図面幾何補正\幾何補正後\NG_計算_ワールドファイル\10-10.tfw</t>
  </si>
  <si>
    <t>D:\滝川市\20200617_図面幾何補正\幾何補正後\NG_計算_ワールドファイル\10-11.tfw</t>
  </si>
  <si>
    <t>D:\滝川市\20200617_図面幾何補正\幾何補正後\NG_計算_ワールドファイル\10-12.tfw</t>
  </si>
  <si>
    <t>D:\滝川市\20200617_図面幾何補正\幾何補正後\NG_計算_ワールドファイル\10-13.tfw</t>
  </si>
  <si>
    <t>D:\滝川市\20200617_図面幾何補正\幾何補正後\NG_計算_ワールドファイル\11-01.tfw</t>
  </si>
  <si>
    <t>D:\滝川市\20200617_図面幾何補正\幾何補正後\NG_計算_ワールドファイル\11-02.tfw</t>
  </si>
  <si>
    <t>D:\滝川市\20200617_図面幾何補正\幾何補正後\NG_計算_ワールドファイル\11-03.tfw</t>
  </si>
  <si>
    <t>D:\滝川市\20200617_図面幾何補正\幾何補正後\NG_計算_ワールドファイル\11-04.tfw</t>
  </si>
  <si>
    <t>D:\滝川市\20200617_図面幾何補正\幾何補正後\NG_計算_ワールドファイル\11-05.tfw</t>
  </si>
  <si>
    <t>D:\滝川市\20200617_図面幾何補正\幾何補正後\NG_計算_ワールドファイル\11-06.tfw</t>
  </si>
  <si>
    <t>D:\滝川市\20200617_図面幾何補正\幾何補正後\NG_計算_ワールドファイル\11-07.tfw</t>
  </si>
  <si>
    <t>D:\滝川市\20200617_図面幾何補正\幾何補正後\NG_計算_ワールドファイル\11-08.tfw</t>
  </si>
  <si>
    <t>D:\滝川市\20200617_図面幾何補正\幾何補正後\NG_計算_ワールドファイル\11-09.tfw</t>
  </si>
  <si>
    <t>D:\滝川市\20200617_図面幾何補正\幾何補正後\NG_計算_ワールドファイル\11-10.tfw</t>
  </si>
  <si>
    <t>D:\滝川市\20200617_図面幾何補正\幾何補正後\NG_計算_ワールドファイル\11-11.tfw</t>
  </si>
  <si>
    <t>D:\滝川市\20200617_図面幾何補正\幾何補正後\NG_計算_ワールドファイル\11-12.tfw</t>
  </si>
  <si>
    <t>D:\滝川市\20200617_図面幾何補正\幾何補正後\NG_計算_ワールドファイル\12-01.tfw</t>
  </si>
  <si>
    <t>D:\滝川市\20200617_図面幾何補正\幾何補正後\NG_計算_ワールドファイル\12-02.tfw</t>
  </si>
  <si>
    <t>D:\滝川市\20200617_図面幾何補正\幾何補正後\NG_計算_ワールドファイル\12-03.tfw</t>
  </si>
  <si>
    <t>D:\滝川市\20200617_図面幾何補正\幾何補正後\NG_計算_ワールドファイル\12-04.tfw</t>
  </si>
  <si>
    <t>D:\滝川市\20200617_図面幾何補正\幾何補正後\NG_計算_ワールドファイル\12-05.tfw</t>
  </si>
  <si>
    <t>D:\滝川市\20200617_図面幾何補正\幾何補正後\NG_計算_ワールドファイル\12-06.tfw</t>
  </si>
  <si>
    <t>D:\滝川市\20200617_図面幾何補正\幾何補正後\NG_計算_ワールドファイル\12-07.tfw</t>
  </si>
  <si>
    <t>D:\滝川市\20200617_図面幾何補正\幾何補正後\NG_計算_ワールドファイル\12-08.tfw</t>
  </si>
  <si>
    <t>D:\滝川市\20200617_図面幾何補正\幾何補正後\NG_計算_ワールドファイル\12-09.tfw</t>
  </si>
  <si>
    <t>D:\滝川市\20200617_図面幾何補正\幾何補正後\NG_計算_ワールドファイル\12-10.tfw</t>
  </si>
  <si>
    <t>D:\滝川市\20200617_図面幾何補正\幾何補正後\NG_計算_ワールドファイル\12-11.tfw</t>
  </si>
  <si>
    <t>D:\滝川市\20200617_図面幾何補正\幾何補正後\NG_計算_ワールドファイル\12-12.tfw</t>
  </si>
  <si>
    <t>D:\滝川市\20200617_図面幾何補正\幾何補正後\NG_計算_ワールドファイル\13-01.tfw</t>
  </si>
  <si>
    <t>D:\滝川市\20200617_図面幾何補正\幾何補正後\NG_計算_ワールドファイル\13-02.tfw</t>
  </si>
  <si>
    <t>D:\滝川市\20200617_図面幾何補正\幾何補正後\NG_計算_ワールドファイル\13-03.tfw</t>
  </si>
  <si>
    <t>D:\滝川市\20200617_図面幾何補正\幾何補正後\NG_計算_ワールドファイル\13-04.tfw</t>
  </si>
  <si>
    <t>D:\滝川市\20200617_図面幾何補正\幾何補正後\NG_計算_ワールドファイル\13-05.tfw</t>
  </si>
  <si>
    <t>D:\滝川市\20200617_図面幾何補正\幾何補正後\NG_計算_ワールドファイル\13-06.tfw</t>
  </si>
  <si>
    <t>D:\滝川市\20200617_図面幾何補正\幾何補正後\NG_計算_ワールドファイル\13-07.tfw</t>
  </si>
  <si>
    <t>D:\滝川市\20200617_図面幾何補正\幾何補正後\NG_計算_ワールドファイル\13-08.tfw</t>
  </si>
  <si>
    <t>D:\滝川市\20200617_図面幾何補正\幾何補正後\NG_計算_ワールドファイル\13-09.tfw</t>
  </si>
  <si>
    <t>D:\滝川市\20200617_図面幾何補正\幾何補正後\NG_計算_ワールドファイル\13-10.tfw</t>
  </si>
  <si>
    <t>D:\滝川市\20200617_図面幾何補正\幾何補正後\NG_計算_ワールドファイル\13-11.tfw</t>
  </si>
  <si>
    <t>D:\滝川市\20200617_図面幾何補正\幾何補正後\NG_計算_ワールドファイル\13-12.tfw</t>
  </si>
  <si>
    <t>D:\滝川市\20200617_図面幾何補正\幾何補正後\NG_計算_ワールドファイル\14-01.tfw</t>
  </si>
  <si>
    <t>D:\滝川市\20200617_図面幾何補正\幾何補正後\NG_計算_ワールドファイル\14-02.tfw</t>
  </si>
  <si>
    <t>D:\滝川市\20200617_図面幾何補正\幾何補正後\NG_計算_ワールドファイル\14-03.tfw</t>
  </si>
  <si>
    <t>D:\滝川市\20200617_図面幾何補正\幾何補正後\NG_計算_ワールドファイル\14-04.tfw</t>
  </si>
  <si>
    <t>D:\滝川市\20200617_図面幾何補正\幾何補正後\NG_計算_ワールドファイル\14-05.tfw</t>
  </si>
  <si>
    <t>D:\滝川市\20200617_図面幾何補正\幾何補正後\NG_計算_ワールドファイル\14-06.tfw</t>
  </si>
  <si>
    <t>D:\滝川市\20200617_図面幾何補正\幾何補正後\NG_計算_ワールドファイル\14-07.tfw</t>
  </si>
  <si>
    <t>D:\滝川市\20200617_図面幾何補正\幾何補正後\NG_計算_ワールドファイル\14-08.tfw</t>
  </si>
  <si>
    <t>D:\滝川市\20200617_図面幾何補正\幾何補正後\NG_計算_ワールドファイル\14-09.tfw</t>
  </si>
  <si>
    <t>D:\滝川市\20200617_図面幾何補正\幾何補正後\NG_計算_ワールドファイル\14-10.tfw</t>
  </si>
  <si>
    <t>D:\滝川市\20200617_図面幾何補正\幾何補正後\NG_計算_ワールドファイル\14-11.tfw</t>
  </si>
  <si>
    <t>D:\滝川市\20200617_図面幾何補正\幾何補正後\NG_計算_ワールドファイル\14-12.tfw</t>
  </si>
  <si>
    <t>D:\滝川市\20200617_図面幾何補正\幾何補正後\NG_計算_ワールドファイル\14-13.tfw</t>
  </si>
  <si>
    <t>D:\滝川市\20200617_図面幾何補正\幾何補正後\NG_計算_ワールドファイル\15-01.tfw</t>
  </si>
  <si>
    <t>D:\滝川市\20200617_図面幾何補正\幾何補正後\NG_計算_ワールドファイル\15-02.tfw</t>
  </si>
  <si>
    <t>D:\滝川市\20200617_図面幾何補正\幾何補正後\NG_計算_ワールドファイル\15-03.tfw</t>
  </si>
  <si>
    <t>D:\滝川市\20200617_図面幾何補正\幾何補正後\NG_計算_ワールドファイル\15-04.tfw</t>
  </si>
  <si>
    <t>D:\滝川市\20200617_図面幾何補正\幾何補正後\NG_計算_ワールドファイル\15-05.tfw</t>
  </si>
  <si>
    <t>D:\滝川市\20200617_図面幾何補正\幾何補正後\NG_計算_ワールドファイル\15-06.tfw</t>
  </si>
  <si>
    <t>D:\滝川市\20200617_図面幾何補正\幾何補正後\NG_計算_ワールドファイル\15-07.tfw</t>
  </si>
  <si>
    <t>D:\滝川市\20200617_図面幾何補正\幾何補正後\NG_計算_ワールドファイル\15-08.tfw</t>
  </si>
  <si>
    <t>D:\滝川市\20200617_図面幾何補正\幾何補正後\NG_計算_ワールドファイル\15-09.tfw</t>
  </si>
  <si>
    <t>D:\滝川市\20200617_図面幾何補正\幾何補正後\NG_計算_ワールドファイル\15-10.tfw</t>
  </si>
  <si>
    <t>D:\滝川市\20200617_図面幾何補正\幾何補正後\NG_計算_ワールドファイル\15-11.tfw</t>
  </si>
  <si>
    <t>D:\滝川市\20200617_図面幾何補正\幾何補正後\NG_計算_ワールドファイル\15-12.tfw</t>
  </si>
  <si>
    <t>D:\滝川市\20200617_図面幾何補正\幾何補正後\NG_計算_ワールドファイル\16-01.tfw</t>
  </si>
  <si>
    <t>D:\滝川市\20200617_図面幾何補正\幾何補正後\NG_計算_ワールドファイル\16-02.tfw</t>
  </si>
  <si>
    <t>D:\滝川市\20200617_図面幾何補正\幾何補正後\NG_計算_ワールドファイル\16-03.tfw</t>
  </si>
  <si>
    <t>D:\滝川市\20200617_図面幾何補正\幾何補正後\NG_計算_ワールドファイル\16-04.tfw</t>
  </si>
  <si>
    <t>D:\滝川市\20200617_図面幾何補正\幾何補正後\NG_計算_ワールドファイル\16-05.tfw</t>
  </si>
  <si>
    <t>D:\滝川市\20200617_図面幾何補正\幾何補正後\NG_計算_ワールドファイル\16-06.tfw</t>
  </si>
  <si>
    <t>D:\滝川市\20200617_図面幾何補正\幾何補正後\NG_計算_ワールドファイル\16-07.tfw</t>
  </si>
  <si>
    <t>D:\滝川市\20200617_図面幾何補正\幾何補正後\NG_計算_ワールドファイル\16-08.tfw</t>
  </si>
  <si>
    <t>D:\滝川市\20200617_図面幾何補正\幾何補正後\NG_計算_ワールドファイル\16-09.tfw</t>
  </si>
  <si>
    <t>D:\滝川市\20200617_図面幾何補正\幾何補正後\NG_計算_ワールドファイル\16-10.tfw</t>
  </si>
  <si>
    <t>D:\滝川市\20200617_図面幾何補正\幾何補正後\NG_計算_ワールドファイル\16-11.tfw</t>
  </si>
  <si>
    <t>D:\滝川市\20200617_図面幾何補正\幾何補正後\NG_計算_ワールドファイル\16-12.tfw</t>
  </si>
  <si>
    <t>D:\滝川市\20200617_図面幾何補正\幾何補正後\NG_計算_ワールドファイル\17-01.tfw</t>
  </si>
  <si>
    <t>D:\滝川市\20200617_図面幾何補正\幾何補正後\NG_計算_ワールドファイル\17-02.tfw</t>
  </si>
  <si>
    <t>D:\滝川市\20200617_図面幾何補正\幾何補正後\NG_計算_ワールドファイル\17-03.tfw</t>
  </si>
  <si>
    <t>D:\滝川市\20200617_図面幾何補正\幾何補正後\NG_計算_ワールドファイル\17-04.tfw</t>
  </si>
  <si>
    <t>D:\滝川市\20200617_図面幾何補正\幾何補正後\NG_計算_ワールドファイル\17-05.tfw</t>
  </si>
  <si>
    <t>D:\滝川市\20200617_図面幾何補正\幾何補正後\NG_計算_ワールドファイル\17-06.tfw</t>
  </si>
  <si>
    <t>D:\滝川市\20200617_図面幾何補正\幾何補正後\NG_計算_ワールドファイル\17-07.tfw</t>
  </si>
  <si>
    <t>D:\滝川市\20200617_図面幾何補正\幾何補正後\NG_計算_ワールドファイル\17-08.tfw</t>
  </si>
  <si>
    <t>D:\滝川市\20200617_図面幾何補正\幾何補正後\NG_計算_ワールドファイル\17-09.tfw</t>
  </si>
  <si>
    <t>D:\滝川市\20200617_図面幾何補正\幾何補正後\NG_計算_ワールドファイル\17-10.tfw</t>
  </si>
  <si>
    <t>D:\滝川市\20200617_図面幾何補正\幾何補正後\NG_計算_ワールドファイル\17-11.tfw</t>
  </si>
  <si>
    <t>D:\滝川市\20200617_図面幾何補正\幾何補正後\NG_計算_ワールドファイル\17-12.tfw</t>
  </si>
  <si>
    <t>D:\滝川市\20200617_図面幾何補正\幾何補正後\NG_計算_ワールドファイル\18-02.tfw</t>
  </si>
  <si>
    <t>D:\滝川市\20200617_図面幾何補正\幾何補正後\NG_計算_ワールドファイル\18-03.tfw</t>
  </si>
  <si>
    <t>D:\滝川市\20200617_図面幾何補正\幾何補正後\NG_計算_ワールドファイル\18-04.tfw</t>
  </si>
  <si>
    <t>D:\滝川市\20200617_図面幾何補正\幾何補正後\NG_計算_ワールドファイル\18-05.tfw</t>
  </si>
  <si>
    <t>D:\滝川市\20200617_図面幾何補正\幾何補正後\NG_計算_ワールドファイル\18-06.tfw</t>
  </si>
  <si>
    <t>D:\滝川市\20200617_図面幾何補正\幾何補正後\NG_計算_ワールドファイル\18-07.tfw</t>
  </si>
  <si>
    <t>D:\滝川市\20200617_図面幾何補正\幾何補正後\NG_計算_ワールドファイル\18-08.tfw</t>
  </si>
  <si>
    <t>D:\滝川市\20200617_図面幾何補正\幾何補正後\NG_計算_ワールドファイル\18-09.tfw</t>
  </si>
  <si>
    <t>D:\滝川市\20200617_図面幾何補正\幾何補正後\NG_計算_ワールドファイル\18-10.tfw</t>
  </si>
  <si>
    <t>D:\滝川市\20200617_図面幾何補正\幾何補正後\NG_計算_ワールドファイル\18-11.tfw</t>
  </si>
  <si>
    <t>D:\滝川市\20200617_図面幾何補正\幾何補正後\NG_計算_ワールドファイル\18-12.tfw</t>
  </si>
  <si>
    <t>D:\滝川市\20200617_図面幾何補正\幾何補正後\NG_計算_ワールドファイル\19-02.tfw</t>
  </si>
  <si>
    <t>D:\滝川市\20200617_図面幾何補正\幾何補正後\NG_計算_ワールドファイル\19-03.tfw</t>
  </si>
  <si>
    <t>D:\滝川市\20200617_図面幾何補正\幾何補正後\NG_計算_ワールドファイル\19-04.tfw</t>
  </si>
  <si>
    <t>D:\滝川市\20200617_図面幾何補正\幾何補正後\NG_計算_ワールドファイル\19-05.tfw</t>
  </si>
  <si>
    <t>D:\滝川市\20200617_図面幾何補正\幾何補正後\NG_計算_ワールドファイル\19-06.tfw</t>
  </si>
  <si>
    <t>D:\滝川市\20200617_図面幾何補正\幾何補正後\NG_計算_ワールドファイル\19-07.tfw</t>
  </si>
  <si>
    <t>D:\滝川市\20200617_図面幾何補正\幾何補正後\NG_計算_ワールドファイル\19-08.tfw</t>
  </si>
  <si>
    <t>D:\滝川市\20200617_図面幾何補正\幾何補正後\NG_計算_ワールドファイル\19-09.tfw</t>
  </si>
  <si>
    <t>D:\滝川市\20200617_図面幾何補正\幾何補正後\NG_計算_ワールドファイル\19-10.tfw</t>
  </si>
  <si>
    <t>D:\滝川市\20200617_図面幾何補正\幾何補正後\NG_計算_ワールドファイル\19-11.tfw</t>
  </si>
  <si>
    <t>D:\滝川市\20200617_図面幾何補正\幾何補正後\NG_計算_ワールドファイル\19-12.tfw</t>
  </si>
  <si>
    <t>D:\滝川市\20200617_図面幾何補正\幾何補正後\NG_計算_ワールドファイル\20-02.tfw</t>
  </si>
  <si>
    <t>D:\滝川市\20200617_図面幾何補正\幾何補正後\NG_計算_ワールドファイル\20-03.tfw</t>
  </si>
  <si>
    <t>D:\滝川市\20200617_図面幾何補正\幾何補正後\NG_計算_ワールドファイル\20-04.tfw</t>
  </si>
  <si>
    <t>D:\滝川市\20200617_図面幾何補正\幾何補正後\NG_計算_ワールドファイル\20-05.tfw</t>
  </si>
  <si>
    <t>D:\滝川市\20200617_図面幾何補正\幾何補正後\NG_計算_ワールドファイル\20-06.tfw</t>
  </si>
  <si>
    <t>D:\滝川市\20200617_図面幾何補正\幾何補正後\NG_計算_ワールドファイル\20-07.tfw</t>
  </si>
  <si>
    <t>D:\滝川市\20200617_図面幾何補正\幾何補正後\NG_計算_ワールドファイル\20-08.tfw</t>
  </si>
  <si>
    <t>D:\滝川市\20200617_図面幾何補正\幾何補正後\NG_計算_ワールドファイル\20-09.tfw</t>
  </si>
  <si>
    <t>D:\滝川市\20200617_図面幾何補正\幾何補正後\NG_計算_ワールドファイル\20-10.tfw</t>
  </si>
  <si>
    <t>D:\滝川市\20200617_図面幾何補正\幾何補正後\NG_計算_ワールドファイル\21-02.tfw</t>
  </si>
  <si>
    <t>D:\滝川市\20200617_図面幾何補正\幾何補正後\NG_計算_ワールドファイル\21-03.tfw</t>
  </si>
  <si>
    <t>D:\滝川市\20200617_図面幾何補正\幾何補正後\NG_計算_ワールドファイル\21-04.tfw</t>
  </si>
  <si>
    <t>D:\滝川市\20200617_図面幾何補正\幾何補正後\NG_計算_ワールドファイル\21-05.tfw</t>
  </si>
  <si>
    <t>D:\滝川市\20200617_図面幾何補正\幾何補正後\NG_計算_ワールドファイル\21-06.tfw</t>
  </si>
  <si>
    <t>D:\滝川市\20200617_図面幾何補正\幾何補正後\NG_計算_ワールドファイル\21-07.tfw</t>
  </si>
  <si>
    <t>D:\滝川市\20200617_図面幾何補正\幾何補正後\NG_計算_ワールドファイル\21-08.tfw</t>
  </si>
  <si>
    <t>D:\滝川市\20200617_図面幾何補正\幾何補正後\NG_計算_ワールドファイル\21-09.tfw</t>
  </si>
  <si>
    <t>D:\滝川市\20200617_図面幾何補正\幾何補正後\NG_計算_ワールドファイル\22-02.tfw</t>
  </si>
  <si>
    <t>D:\滝川市\20200617_図面幾何補正\幾何補正後\NG_計算_ワールドファイル\22-03.tfw</t>
  </si>
  <si>
    <t>D:\滝川市\20200617_図面幾何補正\幾何補正後\NG_計算_ワールドファイル\22-04.tfw</t>
  </si>
  <si>
    <t>D:\滝川市\20200617_図面幾何補正\幾何補正後\NG_計算_ワールドファイル\22-05.tfw</t>
  </si>
  <si>
    <t>D:\滝川市\20200617_図面幾何補正\幾何補正後\NG_計算_ワールドファイル\22-06.tfw</t>
  </si>
  <si>
    <t>D:\滝川市\20200617_図面幾何補正\幾何補正後\NG_計算_ワールドファイル\22-07.tfw</t>
  </si>
  <si>
    <t>D:\滝川市\20200617_図面幾何補正\幾何補正後\NG_計算_ワールドファイル\22-08.tfw</t>
  </si>
  <si>
    <t>D:\滝川市\20200617_図面幾何補正\幾何補正後\NG_計算_ワールドファイル\22-09.tfw</t>
  </si>
  <si>
    <t>D:\滝川市\20200617_図面幾何補正\幾何補正後\NG_計算_ワールドファイル\23-03.tfw</t>
  </si>
  <si>
    <t>D:\滝川市\20200617_図面幾何補正\幾何補正後\NG_計算_ワールドファイル\23-04.tfw</t>
  </si>
  <si>
    <t>D:\滝川市\20200617_図面幾何補正\幾何補正後\NG_計算_ワールドファイル\23-05.tfw</t>
  </si>
  <si>
    <t>D:\滝川市\20200617_図面幾何補正\幾何補正後\NG_計算_ワールドファイル\23-06.tfw</t>
  </si>
  <si>
    <t>D:\滝川市\20200617_図面幾何補正\幾何補正後\NG_計算_ワールドファイル\23-07.tfw</t>
  </si>
  <si>
    <t>D:\滝川市\20200617_図面幾何補正\幾何補正後\NG_計算_ワールドファイル\23-08.tfw</t>
  </si>
  <si>
    <t>D:\滝川市\20200617_図面幾何補正\幾何補正後\NG_計算_ワールドファイル\24-04.tfw</t>
  </si>
  <si>
    <t>D:\滝川市\20200617_図面幾何補正\幾何補正後\NG_計算_ワールドファイル\24-05.tfw</t>
  </si>
  <si>
    <t>D:\滝川市\20200617_図面幾何補正\幾何補正後\NG_計算_ワールドファイル\24-06.tfw</t>
  </si>
  <si>
    <t>D:\滝川市\20200617_図面幾何補正\幾何補正後\NG_計算_ワールドファイル\24-07.tfw</t>
  </si>
  <si>
    <t>D:\滝川市\20200617_図面幾何補正\幾何補正後\NG_計算_ワールドファイル\25-04.tfw</t>
  </si>
  <si>
    <t>D:\滝川市\20200617_図面幾何補正\幾何補正後\NG_計算_ワールドファイル\25-05.tfw</t>
  </si>
  <si>
    <t>D:\滝川市\20200617_図面幾何補正\幾何補正後\NG_計算_ワールドファイル\25-06.tfw</t>
  </si>
  <si>
    <t>D:\滝川市\20200617_図面幾何補正\幾何補正後\NG_計算_ワールドファイル\26-05.tfw</t>
  </si>
  <si>
    <t>D:\滝川市\20200617_図面幾何補正\幾何補正後\NG_計算_ワールドファイル\26-06.tfw</t>
  </si>
  <si>
    <t>D:\滝川市\20200617_図面幾何補正\幾何補正後\NG_計算_ワールドファイル\27-05.tfw</t>
  </si>
  <si>
    <t>D:\滝川市\20200617_図面幾何補正\幾何補正後\NG_計算_ワールドファイル\27-06.tfw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</si>
</sst>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"/>
    <numFmt numFmtId="177" formatCode="0.000000"/>
    <numFmt numFmtId="178" formatCode="0.0000000000000000_ "/>
  </numFmts>
  <fonts count="22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rgb="FF000000"/>
      <name val="ＭＳ ゴシック"/>
      <family val="3"/>
      <charset val="128"/>
    </font>
    <font>
      <sz val="11"/>
      <color theme="1"/>
      <name val="ＭＳ ゴシック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ＭＳ ゴシック"/>
      <family val="2"/>
      <charset val="128"/>
    </font>
    <font>
      <b/>
      <sz val="13"/>
      <color theme="3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sz val="11"/>
      <color rgb="FF006100"/>
      <name val="ＭＳ ゴシック"/>
      <family val="2"/>
      <charset val="128"/>
    </font>
    <font>
      <sz val="11"/>
      <color rgb="FF9C0006"/>
      <name val="ＭＳ ゴシック"/>
      <family val="2"/>
      <charset val="128"/>
    </font>
    <font>
      <sz val="11"/>
      <color rgb="FF9C6500"/>
      <name val="ＭＳ ゴシック"/>
      <family val="2"/>
      <charset val="128"/>
    </font>
    <font>
      <sz val="11"/>
      <color rgb="FF3F3F76"/>
      <name val="ＭＳ ゴシック"/>
      <family val="2"/>
      <charset val="128"/>
    </font>
    <font>
      <b/>
      <sz val="11"/>
      <color rgb="FF3F3F3F"/>
      <name val="ＭＳ ゴシック"/>
      <family val="2"/>
      <charset val="128"/>
    </font>
    <font>
      <b/>
      <sz val="11"/>
      <color rgb="FFFA7D00"/>
      <name val="ＭＳ ゴシック"/>
      <family val="2"/>
      <charset val="128"/>
    </font>
    <font>
      <sz val="11"/>
      <color rgb="FFFA7D00"/>
      <name val="ＭＳ ゴシック"/>
      <family val="2"/>
      <charset val="128"/>
    </font>
    <font>
      <b/>
      <sz val="11"/>
      <color theme="0"/>
      <name val="ＭＳ ゴシック"/>
      <family val="2"/>
      <charset val="128"/>
    </font>
    <font>
      <sz val="11"/>
      <color rgb="FFFF0000"/>
      <name val="ＭＳ ゴシック"/>
      <family val="2"/>
      <charset val="128"/>
    </font>
    <font>
      <i/>
      <sz val="11"/>
      <color rgb="FF7F7F7F"/>
      <name val="ＭＳ ゴシック"/>
      <family val="2"/>
      <charset val="128"/>
    </font>
    <font>
      <b/>
      <sz val="11"/>
      <color theme="1"/>
      <name val="ＭＳ ゴシック"/>
      <family val="2"/>
      <charset val="128"/>
    </font>
    <font>
      <sz val="11"/>
      <color theme="0"/>
      <name val="ＭＳ 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9CC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6" borderId="7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7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8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49" fontId="0" fillId="33" borderId="1" xfId="0" applyNumberFormat="1" applyFill="1" applyBorder="1" applyAlignment="1">
      <alignment horizontal="center" vertical="center" shrinkToFit="1"/>
    </xf>
    <xf numFmtId="0" fontId="0" fillId="33" borderId="1" xfId="0" applyNumberFormat="1" applyFill="1" applyBorder="1" applyAlignment="1">
      <alignment horizontal="center" vertical="center" shrinkToFit="1"/>
    </xf>
    <xf numFmtId="0" fontId="16" fillId="0" borderId="0" xfId="0" applyFont="1">
      <alignment vertical="center"/>
    </xf>
    <xf numFmtId="0" fontId="0" fillId="0" borderId="0" xfId="0" quotePrefix="1">
      <alignment vertical="center"/>
    </xf>
    <xf numFmtId="0" fontId="16" fillId="0" borderId="0" xfId="0" quotePrefix="1" applyFont="1">
      <alignment vertical="center"/>
    </xf>
    <xf numFmtId="0" fontId="0" fillId="0" borderId="0" xfId="0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33" borderId="20" xfId="0" applyNumberFormat="1" applyFill="1" applyBorder="1" applyAlignment="1">
      <alignment horizontal="center" vertical="center" shrinkToFit="1"/>
    </xf>
    <xf numFmtId="0" fontId="0" fillId="33" borderId="17" xfId="0" applyFill="1" applyBorder="1" applyAlignment="1">
      <alignment vertical="center" shrinkToFit="1"/>
    </xf>
    <xf numFmtId="49" fontId="0" fillId="33" borderId="13" xfId="0" applyNumberFormat="1" applyFill="1" applyBorder="1" applyAlignment="1">
      <alignment vertical="center" shrinkToFit="1"/>
    </xf>
    <xf numFmtId="49" fontId="0" fillId="33" borderId="19" xfId="0" applyNumberFormat="1" applyFill="1" applyBorder="1" applyAlignment="1">
      <alignment vertical="center" shrinkToFit="1"/>
    </xf>
    <xf numFmtId="49" fontId="0" fillId="33" borderId="15" xfId="0" applyNumberFormat="1" applyFill="1" applyBorder="1" applyAlignment="1">
      <alignment vertical="center" shrinkToFit="1"/>
    </xf>
    <xf numFmtId="0" fontId="0" fillId="33" borderId="1" xfId="0" applyNumberForma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20" fillId="0" borderId="0" xfId="42">
      <alignment vertical="center"/>
    </xf>
    <xf numFmtId="176" fontId="20" fillId="0" borderId="0" xfId="42" applyNumberFormat="1">
      <alignment vertical="center"/>
    </xf>
    <xf numFmtId="0" fontId="0" fillId="33" borderId="1" xfId="0" applyFill="1" applyBorder="1" applyAlignment="1">
      <alignment horizontal="center" vertical="center"/>
    </xf>
    <xf numFmtId="0" fontId="20" fillId="34" borderId="0" xfId="42" applyFill="1">
      <alignment vertical="center"/>
    </xf>
    <xf numFmtId="0" fontId="20" fillId="35" borderId="0" xfId="42" applyFill="1">
      <alignment vertical="center"/>
    </xf>
    <xf numFmtId="178" fontId="20" fillId="0" borderId="0" xfId="42" applyNumberFormat="1">
      <alignment vertical="center"/>
    </xf>
    <xf numFmtId="0" fontId="0" fillId="33" borderId="1" xfId="0" applyNumberFormat="1" applyFill="1" applyBorder="1" applyAlignment="1">
      <alignment horizontal="center" vertical="center" shrinkToFit="1"/>
    </xf>
    <xf numFmtId="49" fontId="0" fillId="33" borderId="17" xfId="0" applyNumberFormat="1" applyFill="1" applyBorder="1" applyAlignment="1">
      <alignment vertical="center" shrinkToFit="1"/>
    </xf>
    <xf numFmtId="177" fontId="20" fillId="0" borderId="0" xfId="42" applyNumberFormat="1">
      <alignment vertical="center"/>
    </xf>
    <xf numFmtId="0" fontId="0" fillId="0" borderId="17" xfId="0" applyFill="1" applyBorder="1" applyAlignment="1">
      <alignment vertical="center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33" borderId="16" xfId="0" applyFill="1" applyBorder="1" applyAlignment="1">
      <alignment horizontal="center" vertical="center" shrinkToFit="1"/>
    </xf>
    <xf numFmtId="0" fontId="0" fillId="33" borderId="21" xfId="0" applyFill="1" applyBorder="1" applyAlignment="1">
      <alignment horizontal="center" vertical="center" shrinkToFit="1"/>
    </xf>
    <xf numFmtId="49" fontId="0" fillId="33" borderId="16" xfId="0" applyNumberFormat="1" applyFill="1" applyBorder="1" applyAlignment="1">
      <alignment horizontal="center" vertical="center" shrinkToFit="1"/>
    </xf>
    <xf numFmtId="49" fontId="0" fillId="33" borderId="21" xfId="0" applyNumberFormat="1" applyFill="1" applyBorder="1" applyAlignment="1">
      <alignment horizontal="center" vertical="center" shrinkToFit="1"/>
    </xf>
    <xf numFmtId="49" fontId="0" fillId="33" borderId="12" xfId="0" applyNumberFormat="1" applyFill="1" applyBorder="1" applyAlignment="1">
      <alignment horizontal="center" vertical="center" shrinkToFit="1"/>
    </xf>
    <xf numFmtId="49" fontId="0" fillId="33" borderId="18" xfId="0" applyNumberFormat="1" applyFill="1" applyBorder="1" applyAlignment="1">
      <alignment horizontal="center" vertical="center" shrinkToFit="1"/>
    </xf>
    <xf numFmtId="49" fontId="0" fillId="33" borderId="14" xfId="0" applyNumberFormat="1" applyFill="1" applyBorder="1" applyAlignment="1">
      <alignment horizontal="center" vertical="center" shrinkToFit="1"/>
    </xf>
    <xf numFmtId="49" fontId="0" fillId="33" borderId="2" xfId="0" applyNumberFormat="1" applyFill="1" applyBorder="1" applyAlignment="1">
      <alignment horizontal="center" vertical="center" shrinkToFit="1"/>
    </xf>
    <xf numFmtId="49" fontId="0" fillId="33" borderId="0" xfId="0" applyNumberFormat="1" applyFill="1" applyBorder="1" applyAlignment="1">
      <alignment horizontal="center" vertical="center" shrinkToFit="1"/>
    </xf>
    <xf numFmtId="49" fontId="0" fillId="33" borderId="22" xfId="0" applyNumberFormat="1" applyFill="1" applyBorder="1" applyAlignment="1">
      <alignment horizontal="center" vertical="center" shrinkToFit="1"/>
    </xf>
    <xf numFmtId="0" fontId="0" fillId="33" borderId="12" xfId="0" applyNumberFormat="1" applyFill="1" applyBorder="1" applyAlignment="1">
      <alignment horizontal="center" vertical="center" shrinkToFit="1"/>
    </xf>
    <xf numFmtId="0" fontId="0" fillId="33" borderId="14" xfId="0" applyNumberFormat="1" applyFill="1" applyBorder="1" applyAlignment="1">
      <alignment horizontal="center" vertical="center" shrinkToFit="1"/>
    </xf>
    <xf numFmtId="0" fontId="0" fillId="33" borderId="13" xfId="0" applyNumberFormat="1" applyFill="1" applyBorder="1" applyAlignment="1">
      <alignment horizontal="center" vertical="center" shrinkToFit="1"/>
    </xf>
    <xf numFmtId="0" fontId="0" fillId="33" borderId="15" xfId="0" applyNumberFormat="1" applyFill="1" applyBorder="1" applyAlignment="1">
      <alignment horizontal="center" vertical="center" shrinkToFit="1"/>
    </xf>
    <xf numFmtId="0" fontId="0" fillId="33" borderId="1" xfId="0" applyNumberFormat="1" applyFill="1" applyBorder="1" applyAlignment="1">
      <alignment horizontal="center" vertical="center" shrinkToFit="1"/>
    </xf>
    <xf numFmtId="49" fontId="0" fillId="33" borderId="13" xfId="0" applyNumberFormat="1" applyFill="1" applyBorder="1" applyAlignment="1">
      <alignment horizontal="center" vertical="center" shrinkToFit="1"/>
    </xf>
    <xf numFmtId="49" fontId="0" fillId="33" borderId="15" xfId="0" applyNumberFormat="1" applyFill="1" applyBorder="1" applyAlignment="1">
      <alignment horizontal="center" vertical="center" shrinkToFit="1"/>
    </xf>
    <xf numFmtId="0" fontId="0" fillId="33" borderId="17" xfId="0" applyNumberFormat="1" applyFill="1" applyBorder="1" applyAlignment="1">
      <alignment horizontal="center" vertical="center" shrinkToFit="1"/>
    </xf>
    <xf numFmtId="0" fontId="0" fillId="33" borderId="2" xfId="0" applyNumberFormat="1" applyFill="1" applyBorder="1" applyAlignment="1">
      <alignment horizontal="center" vertical="center" shrinkToFit="1"/>
    </xf>
    <xf numFmtId="0" fontId="0" fillId="33" borderId="22" xfId="0" applyNumberFormat="1" applyFill="1" applyBorder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TFW入力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TFW出力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図郭Sima作成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6"/>
  <sheetViews>
    <sheetView zoomScale="85" zoomScaleNormal="85" workbookViewId="0">
      <pane ySplit="3" topLeftCell="A4" activePane="bottomLeft" state="frozen"/>
      <selection pane="bottomLeft" sqref="A1:A2"/>
    </sheetView>
  </sheetViews>
  <sheetFormatPr defaultRowHeight="13.5" x14ac:dyDescent="0.15"/>
  <cols>
    <col min="1" max="1" width="24.75" style="7" customWidth="1"/>
    <col min="2" max="2" width="12.75" style="8" customWidth="1"/>
    <col min="3" max="5" width="9" style="8"/>
    <col min="6" max="7" width="10.5" style="8" bestFit="1" customWidth="1"/>
    <col min="8" max="8" width="11.625" style="8" bestFit="1" customWidth="1"/>
    <col min="9" max="10" width="14.25" style="9" customWidth="1"/>
    <col min="11" max="12" width="14.25" style="8" customWidth="1"/>
    <col min="13" max="14" width="14.25" style="9" customWidth="1"/>
    <col min="15" max="18" width="13.875" style="16" bestFit="1" customWidth="1"/>
  </cols>
  <sheetData>
    <row r="1" spans="1:18" ht="31.5" customHeight="1" x14ac:dyDescent="0.15">
      <c r="A1" s="30" t="s">
        <v>0</v>
      </c>
      <c r="B1" s="32" t="s">
        <v>1</v>
      </c>
      <c r="C1" s="34" t="s">
        <v>2</v>
      </c>
      <c r="D1" s="35"/>
      <c r="E1" s="35"/>
      <c r="F1" s="35"/>
      <c r="G1" s="35"/>
      <c r="H1" s="36"/>
      <c r="I1" s="40" t="s">
        <v>3</v>
      </c>
      <c r="J1" s="41"/>
      <c r="K1" s="34" t="s">
        <v>4</v>
      </c>
      <c r="L1" s="36"/>
      <c r="M1" s="44" t="s">
        <v>5</v>
      </c>
      <c r="N1" s="44"/>
      <c r="O1" s="40" t="s">
        <v>16</v>
      </c>
      <c r="P1" s="41"/>
      <c r="Q1" s="40" t="s">
        <v>17</v>
      </c>
      <c r="R1" s="41"/>
    </row>
    <row r="2" spans="1:18" ht="31.5" customHeight="1" x14ac:dyDescent="0.15">
      <c r="A2" s="31"/>
      <c r="B2" s="33"/>
      <c r="C2" s="37"/>
      <c r="D2" s="38"/>
      <c r="E2" s="38"/>
      <c r="F2" s="38"/>
      <c r="G2" s="38"/>
      <c r="H2" s="39"/>
      <c r="I2" s="42"/>
      <c r="J2" s="43"/>
      <c r="K2" s="45"/>
      <c r="L2" s="46"/>
      <c r="M2" s="3">
        <v>600</v>
      </c>
      <c r="N2" s="3">
        <v>800</v>
      </c>
      <c r="O2" s="42"/>
      <c r="P2" s="43"/>
      <c r="Q2" s="42"/>
      <c r="R2" s="43"/>
    </row>
    <row r="3" spans="1:18" ht="31.5" customHeight="1" x14ac:dyDescent="0.15">
      <c r="A3" s="11"/>
      <c r="B3" s="24"/>
      <c r="C3" s="12"/>
      <c r="D3" s="13"/>
      <c r="E3" s="13"/>
      <c r="F3" s="13"/>
      <c r="G3" s="13"/>
      <c r="H3" s="14"/>
      <c r="I3" s="10" t="s">
        <v>6</v>
      </c>
      <c r="J3" s="3" t="s">
        <v>7</v>
      </c>
      <c r="K3" s="2" t="s">
        <v>8</v>
      </c>
      <c r="L3" s="2" t="s">
        <v>9</v>
      </c>
      <c r="M3" s="3" t="s">
        <v>8</v>
      </c>
      <c r="N3" s="3" t="s">
        <v>9</v>
      </c>
      <c r="O3" s="15" t="s">
        <v>8</v>
      </c>
      <c r="P3" s="15" t="s">
        <v>9</v>
      </c>
      <c r="Q3" s="15" t="s">
        <v>8</v>
      </c>
      <c r="R3" s="15" t="s">
        <v>9</v>
      </c>
    </row>
    <row r="4" spans="1:18" x14ac:dyDescent="0.15">
      <c r="A4" s="7" t="s">
        <v>282</v>
      </c>
      <c r="B4" s="8" t="s">
        <v>37</v>
      </c>
      <c r="C4" s="8">
        <v>5.8888000000000003E-2</v>
      </c>
      <c r="D4" s="8">
        <v>-2.0931000000000002E-2</v>
      </c>
      <c r="E4" s="8">
        <v>-2.0931999999999999E-2</v>
      </c>
      <c r="F4" s="8">
        <v>-5.8889999999999998E-2</v>
      </c>
      <c r="G4" s="8">
        <v>-24555.14</v>
      </c>
      <c r="H4" s="8">
        <v>-35973.637000000002</v>
      </c>
    </row>
    <row r="5" spans="1:18" x14ac:dyDescent="0.15">
      <c r="A5" s="7" t="s">
        <v>283</v>
      </c>
      <c r="B5" s="8" t="s">
        <v>38</v>
      </c>
      <c r="C5" s="8">
        <v>5.8888999999999997E-2</v>
      </c>
      <c r="D5" s="8">
        <v>-2.0931000000000002E-2</v>
      </c>
      <c r="E5" s="8">
        <v>-2.0931000000000002E-2</v>
      </c>
      <c r="F5" s="8">
        <v>-5.8889999999999998E-2</v>
      </c>
      <c r="G5" s="8">
        <v>-23801.368999999999</v>
      </c>
      <c r="H5" s="8">
        <v>-36241.553</v>
      </c>
    </row>
    <row r="6" spans="1:18" x14ac:dyDescent="0.15">
      <c r="A6" s="7" t="s">
        <v>284</v>
      </c>
      <c r="B6" s="8" t="s">
        <v>39</v>
      </c>
      <c r="C6" s="8">
        <v>5.8889999999999998E-2</v>
      </c>
      <c r="D6" s="8">
        <v>-2.0931000000000002E-2</v>
      </c>
      <c r="E6" s="8">
        <v>-2.0931000000000002E-2</v>
      </c>
      <c r="F6" s="8">
        <v>-5.8889999999999998E-2</v>
      </c>
      <c r="G6" s="8">
        <v>-23047.591</v>
      </c>
      <c r="H6" s="8">
        <v>-36509.472999999998</v>
      </c>
    </row>
    <row r="7" spans="1:18" x14ac:dyDescent="0.15">
      <c r="A7" s="7" t="s">
        <v>285</v>
      </c>
      <c r="B7" s="8" t="s">
        <v>40</v>
      </c>
      <c r="C7" s="8">
        <v>5.8888999999999997E-2</v>
      </c>
      <c r="D7" s="8">
        <v>-2.0931000000000002E-2</v>
      </c>
      <c r="E7" s="8">
        <v>-2.0931999999999999E-2</v>
      </c>
      <c r="F7" s="8">
        <v>-5.8892E-2</v>
      </c>
      <c r="G7" s="8">
        <v>-24756.084999999999</v>
      </c>
      <c r="H7" s="8">
        <v>-36538.983</v>
      </c>
    </row>
    <row r="8" spans="1:18" x14ac:dyDescent="0.15">
      <c r="A8" s="7" t="s">
        <v>286</v>
      </c>
      <c r="B8" s="8" t="s">
        <v>41</v>
      </c>
      <c r="C8" s="8">
        <v>5.8888999999999997E-2</v>
      </c>
      <c r="D8" s="8">
        <v>-2.0931000000000002E-2</v>
      </c>
      <c r="E8" s="8">
        <v>-2.0931999999999999E-2</v>
      </c>
      <c r="F8" s="8">
        <v>-5.8890999999999999E-2</v>
      </c>
      <c r="G8" s="8">
        <v>-24002.311000000002</v>
      </c>
      <c r="H8" s="8">
        <v>-36806.896000000001</v>
      </c>
    </row>
    <row r="9" spans="1:18" x14ac:dyDescent="0.15">
      <c r="A9" s="7" t="s">
        <v>287</v>
      </c>
      <c r="B9" s="8" t="s">
        <v>42</v>
      </c>
      <c r="C9" s="8">
        <v>5.8889999999999998E-2</v>
      </c>
      <c r="D9" s="8">
        <v>-2.0931000000000002E-2</v>
      </c>
      <c r="E9" s="8">
        <v>-2.0931999999999999E-2</v>
      </c>
      <c r="F9" s="8">
        <v>-5.8889999999999998E-2</v>
      </c>
      <c r="G9" s="8">
        <v>-23248.531999999999</v>
      </c>
      <c r="H9" s="8">
        <v>-37074.815999999999</v>
      </c>
    </row>
    <row r="10" spans="1:18" x14ac:dyDescent="0.15">
      <c r="A10" s="7" t="s">
        <v>288</v>
      </c>
      <c r="B10" s="8" t="s">
        <v>43</v>
      </c>
      <c r="C10" s="8">
        <v>5.8890999999999999E-2</v>
      </c>
      <c r="D10" s="8">
        <v>-2.0931000000000002E-2</v>
      </c>
      <c r="E10" s="8">
        <v>-2.0931000000000002E-2</v>
      </c>
      <c r="F10" s="8">
        <v>-5.8889999999999998E-2</v>
      </c>
      <c r="G10" s="8">
        <v>-22494.74</v>
      </c>
      <c r="H10" s="8">
        <v>-37342.732000000004</v>
      </c>
    </row>
    <row r="11" spans="1:18" x14ac:dyDescent="0.15">
      <c r="A11" s="7" t="s">
        <v>289</v>
      </c>
      <c r="B11" s="8" t="s">
        <v>44</v>
      </c>
      <c r="C11" s="8">
        <v>5.8890999999999999E-2</v>
      </c>
      <c r="D11" s="8">
        <v>-2.0931000000000002E-2</v>
      </c>
      <c r="E11" s="8">
        <v>-2.0931000000000002E-2</v>
      </c>
      <c r="F11" s="8">
        <v>-5.8889999999999998E-2</v>
      </c>
      <c r="G11" s="8">
        <v>-21740.936000000002</v>
      </c>
      <c r="H11" s="8">
        <v>-37610.642999999996</v>
      </c>
    </row>
    <row r="12" spans="1:18" x14ac:dyDescent="0.15">
      <c r="A12" s="7" t="s">
        <v>290</v>
      </c>
      <c r="B12" s="8" t="s">
        <v>45</v>
      </c>
      <c r="C12" s="8">
        <v>5.8890999999999999E-2</v>
      </c>
      <c r="D12" s="8">
        <v>-2.0930000000000001E-2</v>
      </c>
      <c r="E12" s="8">
        <v>-2.0931000000000002E-2</v>
      </c>
      <c r="F12" s="8">
        <v>-5.8888999999999997E-2</v>
      </c>
      <c r="G12" s="8">
        <v>-20987.129000000001</v>
      </c>
      <c r="H12" s="8">
        <v>-37878.555</v>
      </c>
    </row>
    <row r="13" spans="1:18" x14ac:dyDescent="0.15">
      <c r="A13" s="7" t="s">
        <v>291</v>
      </c>
      <c r="B13" s="8" t="s">
        <v>52</v>
      </c>
      <c r="C13" s="8">
        <v>5.8888999999999997E-2</v>
      </c>
      <c r="D13" s="8">
        <v>-2.0930000000000001E-2</v>
      </c>
      <c r="E13" s="8">
        <v>-2.0931999999999999E-2</v>
      </c>
      <c r="F13" s="8">
        <v>-5.8892E-2</v>
      </c>
      <c r="G13" s="8">
        <v>-25710.811000000002</v>
      </c>
      <c r="H13" s="8">
        <v>-36836.436000000002</v>
      </c>
    </row>
    <row r="14" spans="1:18" x14ac:dyDescent="0.15">
      <c r="A14" s="7" t="s">
        <v>292</v>
      </c>
      <c r="B14" s="8" t="s">
        <v>47</v>
      </c>
      <c r="C14" s="8">
        <v>5.8888999999999997E-2</v>
      </c>
      <c r="D14" s="8">
        <v>-2.0930000000000001E-2</v>
      </c>
      <c r="E14" s="8">
        <v>-2.0931999999999999E-2</v>
      </c>
      <c r="F14" s="8">
        <v>-5.8892E-2</v>
      </c>
      <c r="G14" s="8">
        <v>-24957.032999999999</v>
      </c>
      <c r="H14" s="8">
        <v>-37104.341999999997</v>
      </c>
    </row>
    <row r="15" spans="1:18" x14ac:dyDescent="0.15">
      <c r="A15" s="7" t="s">
        <v>293</v>
      </c>
      <c r="B15" s="8" t="s">
        <v>48</v>
      </c>
      <c r="C15" s="8">
        <v>5.8888999999999997E-2</v>
      </c>
      <c r="D15" s="8">
        <v>-2.0931000000000002E-2</v>
      </c>
      <c r="E15" s="8">
        <v>-2.0931999999999999E-2</v>
      </c>
      <c r="F15" s="8">
        <v>-5.8890999999999999E-2</v>
      </c>
      <c r="G15" s="8">
        <v>-24203.255000000001</v>
      </c>
      <c r="H15" s="8">
        <v>-37372.249000000003</v>
      </c>
    </row>
    <row r="16" spans="1:18" x14ac:dyDescent="0.15">
      <c r="A16" s="7" t="s">
        <v>294</v>
      </c>
      <c r="B16" s="8" t="s">
        <v>49</v>
      </c>
      <c r="C16" s="8">
        <v>5.8889999999999998E-2</v>
      </c>
      <c r="D16" s="8">
        <v>-2.0931000000000002E-2</v>
      </c>
      <c r="E16" s="8">
        <v>-2.0931999999999999E-2</v>
      </c>
      <c r="F16" s="8">
        <v>-5.8890999999999999E-2</v>
      </c>
      <c r="G16" s="8">
        <v>-23449.475999999999</v>
      </c>
      <c r="H16" s="8">
        <v>-37640.161</v>
      </c>
    </row>
    <row r="17" spans="1:8" x14ac:dyDescent="0.15">
      <c r="A17" s="7" t="s">
        <v>295</v>
      </c>
      <c r="B17" s="8" t="s">
        <v>50</v>
      </c>
      <c r="C17" s="8">
        <v>5.8890999999999999E-2</v>
      </c>
      <c r="D17" s="8">
        <v>-2.0930000000000001E-2</v>
      </c>
      <c r="E17" s="8">
        <v>-2.0931000000000002E-2</v>
      </c>
      <c r="F17" s="8">
        <v>-5.8889999999999998E-2</v>
      </c>
      <c r="G17" s="8">
        <v>-22695.679</v>
      </c>
      <c r="H17" s="8">
        <v>-37908.074000000001</v>
      </c>
    </row>
    <row r="18" spans="1:8" x14ac:dyDescent="0.15">
      <c r="A18" s="7" t="s">
        <v>296</v>
      </c>
      <c r="B18" s="8" t="s">
        <v>51</v>
      </c>
      <c r="C18" s="8">
        <v>5.8890999999999999E-2</v>
      </c>
      <c r="D18" s="8">
        <v>-2.0930000000000001E-2</v>
      </c>
      <c r="E18" s="8">
        <v>-2.0931000000000002E-2</v>
      </c>
      <c r="F18" s="8">
        <v>-5.8889999999999998E-2</v>
      </c>
      <c r="G18" s="8">
        <v>-21941.875</v>
      </c>
      <c r="H18" s="8">
        <v>-38175.983999999997</v>
      </c>
    </row>
    <row r="19" spans="1:8" x14ac:dyDescent="0.15">
      <c r="A19" s="7" t="s">
        <v>297</v>
      </c>
      <c r="B19" s="8" t="s">
        <v>46</v>
      </c>
      <c r="C19" s="8">
        <v>5.8890999999999999E-2</v>
      </c>
      <c r="D19" s="8">
        <v>-2.0930000000000001E-2</v>
      </c>
      <c r="E19" s="8">
        <v>-2.0931000000000002E-2</v>
      </c>
      <c r="F19" s="8">
        <v>-5.8889999999999998E-2</v>
      </c>
      <c r="G19" s="8">
        <v>-21188.071</v>
      </c>
      <c r="H19" s="8">
        <v>-38443.892</v>
      </c>
    </row>
    <row r="20" spans="1:8" x14ac:dyDescent="0.15">
      <c r="A20" s="7" t="s">
        <v>298</v>
      </c>
      <c r="B20" s="8" t="s">
        <v>54</v>
      </c>
      <c r="C20" s="8">
        <v>5.8890999999999999E-2</v>
      </c>
      <c r="D20" s="8">
        <v>-2.0930000000000001E-2</v>
      </c>
      <c r="E20" s="8">
        <v>-2.0931000000000002E-2</v>
      </c>
      <c r="F20" s="8">
        <v>-5.8888999999999997E-2</v>
      </c>
      <c r="G20" s="8">
        <v>-20434.269</v>
      </c>
      <c r="H20" s="8">
        <v>-38711.798000000003</v>
      </c>
    </row>
    <row r="21" spans="1:8" x14ac:dyDescent="0.15">
      <c r="A21" s="7" t="s">
        <v>299</v>
      </c>
      <c r="B21" s="8" t="s">
        <v>53</v>
      </c>
      <c r="C21" s="8">
        <v>5.8890999999999999E-2</v>
      </c>
      <c r="D21" s="8">
        <v>-2.0931000000000002E-2</v>
      </c>
      <c r="E21" s="8">
        <v>-2.0931999999999999E-2</v>
      </c>
      <c r="F21" s="8">
        <v>-5.8888999999999997E-2</v>
      </c>
      <c r="G21" s="8">
        <v>-19680.457999999999</v>
      </c>
      <c r="H21" s="8">
        <v>-38979.703000000001</v>
      </c>
    </row>
    <row r="22" spans="1:8" x14ac:dyDescent="0.15">
      <c r="A22" s="7" t="s">
        <v>300</v>
      </c>
      <c r="B22" s="8" t="s">
        <v>64</v>
      </c>
      <c r="C22" s="8">
        <v>5.8888999999999997E-2</v>
      </c>
      <c r="D22" s="8">
        <v>-2.0931000000000002E-2</v>
      </c>
      <c r="E22" s="8">
        <v>-2.0931000000000002E-2</v>
      </c>
      <c r="F22" s="8">
        <v>-5.8890999999999999E-2</v>
      </c>
      <c r="G22" s="8">
        <v>-26665.538</v>
      </c>
      <c r="H22" s="8">
        <v>-37133.872000000003</v>
      </c>
    </row>
    <row r="23" spans="1:8" x14ac:dyDescent="0.15">
      <c r="A23" s="7" t="s">
        <v>301</v>
      </c>
      <c r="B23" s="8" t="s">
        <v>62</v>
      </c>
      <c r="C23" s="8">
        <v>5.8888999999999997E-2</v>
      </c>
      <c r="D23" s="8">
        <v>-2.0930000000000001E-2</v>
      </c>
      <c r="E23" s="8">
        <v>-2.0931999999999999E-2</v>
      </c>
      <c r="F23" s="8">
        <v>-5.8892E-2</v>
      </c>
      <c r="G23" s="8">
        <v>-25911.758000000002</v>
      </c>
      <c r="H23" s="8">
        <v>-37401.794999999998</v>
      </c>
    </row>
    <row r="24" spans="1:8" x14ac:dyDescent="0.15">
      <c r="A24" s="7" t="s">
        <v>302</v>
      </c>
      <c r="B24" s="8" t="s">
        <v>57</v>
      </c>
      <c r="C24" s="8">
        <v>5.8888999999999997E-2</v>
      </c>
      <c r="D24" s="8">
        <v>-2.0930000000000001E-2</v>
      </c>
      <c r="E24" s="8">
        <v>-2.0931999999999999E-2</v>
      </c>
      <c r="F24" s="8">
        <v>-5.8893000000000001E-2</v>
      </c>
      <c r="G24" s="8">
        <v>-25157.981</v>
      </c>
      <c r="H24" s="8">
        <v>-37669.705000000002</v>
      </c>
    </row>
    <row r="25" spans="1:8" x14ac:dyDescent="0.15">
      <c r="A25" s="7" t="s">
        <v>303</v>
      </c>
      <c r="B25" s="8" t="s">
        <v>58</v>
      </c>
      <c r="C25" s="8">
        <v>5.8888999999999997E-2</v>
      </c>
      <c r="D25" s="8">
        <v>-2.0930000000000001E-2</v>
      </c>
      <c r="E25" s="8">
        <v>-2.0931999999999999E-2</v>
      </c>
      <c r="F25" s="8">
        <v>-5.8892E-2</v>
      </c>
      <c r="G25" s="8">
        <v>-24404.2</v>
      </c>
      <c r="H25" s="8">
        <v>-37937.607000000004</v>
      </c>
    </row>
    <row r="26" spans="1:8" x14ac:dyDescent="0.15">
      <c r="A26" s="7" t="s">
        <v>304</v>
      </c>
      <c r="B26" s="8" t="s">
        <v>59</v>
      </c>
      <c r="C26" s="8">
        <v>5.8889999999999998E-2</v>
      </c>
      <c r="D26" s="8">
        <v>-2.0930000000000001E-2</v>
      </c>
      <c r="E26" s="8">
        <v>-2.0931000000000002E-2</v>
      </c>
      <c r="F26" s="8">
        <v>-5.8890999999999999E-2</v>
      </c>
      <c r="G26" s="8">
        <v>-23650.419000000002</v>
      </c>
      <c r="H26" s="8">
        <v>-38205.51</v>
      </c>
    </row>
    <row r="27" spans="1:8" x14ac:dyDescent="0.15">
      <c r="A27" s="7" t="s">
        <v>305</v>
      </c>
      <c r="B27" s="8" t="s">
        <v>60</v>
      </c>
      <c r="C27" s="8">
        <v>5.8890999999999999E-2</v>
      </c>
      <c r="D27" s="8">
        <v>-2.0930000000000001E-2</v>
      </c>
      <c r="E27" s="8">
        <v>-2.0931000000000002E-2</v>
      </c>
      <c r="F27" s="8">
        <v>-5.8890999999999999E-2</v>
      </c>
      <c r="G27" s="8">
        <v>-22896.620999999999</v>
      </c>
      <c r="H27" s="8">
        <v>-38473.417999999998</v>
      </c>
    </row>
    <row r="28" spans="1:8" x14ac:dyDescent="0.15">
      <c r="A28" s="7" t="s">
        <v>306</v>
      </c>
      <c r="B28" s="8" t="s">
        <v>61</v>
      </c>
      <c r="C28" s="8">
        <v>5.8890999999999999E-2</v>
      </c>
      <c r="D28" s="8">
        <v>-2.0930000000000001E-2</v>
      </c>
      <c r="E28" s="8">
        <v>-2.0930000000000001E-2</v>
      </c>
      <c r="F28" s="8">
        <v>-5.8889999999999998E-2</v>
      </c>
      <c r="G28" s="8">
        <v>-22142.812999999998</v>
      </c>
      <c r="H28" s="8">
        <v>-38741.326999999997</v>
      </c>
    </row>
    <row r="29" spans="1:8" x14ac:dyDescent="0.15">
      <c r="A29" s="7" t="s">
        <v>307</v>
      </c>
      <c r="B29" s="8" t="s">
        <v>56</v>
      </c>
      <c r="C29" s="8">
        <v>5.8889999999999998E-2</v>
      </c>
      <c r="D29" s="8">
        <v>-2.0930000000000001E-2</v>
      </c>
      <c r="E29" s="8">
        <v>-2.0930000000000001E-2</v>
      </c>
      <c r="F29" s="8">
        <v>-5.8889999999999998E-2</v>
      </c>
      <c r="G29" s="8">
        <v>-21389.007000000001</v>
      </c>
      <c r="H29" s="8">
        <v>-39009.233</v>
      </c>
    </row>
    <row r="30" spans="1:8" x14ac:dyDescent="0.15">
      <c r="A30" s="7" t="s">
        <v>308</v>
      </c>
      <c r="B30" s="8" t="s">
        <v>63</v>
      </c>
      <c r="C30" s="8">
        <v>5.8890999999999999E-2</v>
      </c>
      <c r="D30" s="8">
        <v>-2.0930000000000001E-2</v>
      </c>
      <c r="E30" s="8">
        <v>-2.0930000000000001E-2</v>
      </c>
      <c r="F30" s="8">
        <v>-5.8889999999999998E-2</v>
      </c>
      <c r="G30" s="8">
        <v>-20635.21</v>
      </c>
      <c r="H30" s="8">
        <v>-39277.135000000002</v>
      </c>
    </row>
    <row r="31" spans="1:8" x14ac:dyDescent="0.15">
      <c r="A31" s="7" t="s">
        <v>309</v>
      </c>
      <c r="B31" s="8" t="s">
        <v>55</v>
      </c>
      <c r="C31" s="8">
        <v>5.8890999999999999E-2</v>
      </c>
      <c r="D31" s="8">
        <v>-2.0931000000000002E-2</v>
      </c>
      <c r="E31" s="8">
        <v>-2.0930000000000001E-2</v>
      </c>
      <c r="F31" s="8">
        <v>-5.8889999999999998E-2</v>
      </c>
      <c r="G31" s="8">
        <v>-19881.401999999998</v>
      </c>
      <c r="H31" s="8">
        <v>-39545.040999999997</v>
      </c>
    </row>
    <row r="32" spans="1:8" x14ac:dyDescent="0.15">
      <c r="A32" s="7" t="s">
        <v>310</v>
      </c>
      <c r="B32" s="8" t="s">
        <v>74</v>
      </c>
      <c r="C32" s="8">
        <v>5.8888999999999997E-2</v>
      </c>
      <c r="D32" s="8">
        <v>-2.0931999999999999E-2</v>
      </c>
      <c r="E32" s="8">
        <v>-2.0931000000000002E-2</v>
      </c>
      <c r="F32" s="8">
        <v>-5.8892E-2</v>
      </c>
      <c r="G32" s="8">
        <v>-26866.477999999999</v>
      </c>
      <c r="H32" s="8">
        <v>-37699.230000000003</v>
      </c>
    </row>
    <row r="33" spans="1:8" x14ac:dyDescent="0.15">
      <c r="A33" s="7" t="s">
        <v>311</v>
      </c>
      <c r="B33" s="8" t="s">
        <v>72</v>
      </c>
      <c r="C33" s="8">
        <v>5.8888999999999997E-2</v>
      </c>
      <c r="D33" s="8">
        <v>-2.0931000000000002E-2</v>
      </c>
      <c r="E33" s="8">
        <v>-2.0931000000000002E-2</v>
      </c>
      <c r="F33" s="8">
        <v>-5.8892E-2</v>
      </c>
      <c r="G33" s="8">
        <v>-26112.702000000001</v>
      </c>
      <c r="H33" s="8">
        <v>-37967.156000000003</v>
      </c>
    </row>
    <row r="34" spans="1:8" x14ac:dyDescent="0.15">
      <c r="A34" s="7" t="s">
        <v>312</v>
      </c>
      <c r="B34" s="8" t="s">
        <v>67</v>
      </c>
      <c r="C34" s="8">
        <v>5.8888999999999997E-2</v>
      </c>
      <c r="D34" s="8">
        <v>-2.0929E-2</v>
      </c>
      <c r="E34" s="8">
        <v>-2.0931999999999999E-2</v>
      </c>
      <c r="F34" s="8">
        <v>-5.8892E-2</v>
      </c>
      <c r="G34" s="8">
        <v>-25358.929</v>
      </c>
      <c r="H34" s="8">
        <v>-38235.074000000001</v>
      </c>
    </row>
    <row r="35" spans="1:8" x14ac:dyDescent="0.15">
      <c r="A35" s="7" t="s">
        <v>313</v>
      </c>
      <c r="B35" s="8" t="s">
        <v>68</v>
      </c>
      <c r="C35" s="8">
        <v>5.8889999999999998E-2</v>
      </c>
      <c r="D35" s="8">
        <v>-2.0929E-2</v>
      </c>
      <c r="E35" s="8">
        <v>-2.0931000000000002E-2</v>
      </c>
      <c r="F35" s="8">
        <v>-5.8892E-2</v>
      </c>
      <c r="G35" s="8">
        <v>-24605.144</v>
      </c>
      <c r="H35" s="8">
        <v>-38502.968000000001</v>
      </c>
    </row>
    <row r="36" spans="1:8" x14ac:dyDescent="0.15">
      <c r="A36" s="7" t="s">
        <v>314</v>
      </c>
      <c r="B36" s="8" t="s">
        <v>69</v>
      </c>
      <c r="C36" s="8">
        <v>5.8890999999999999E-2</v>
      </c>
      <c r="D36" s="8">
        <v>-2.0930000000000001E-2</v>
      </c>
      <c r="E36" s="8">
        <v>-2.0930000000000001E-2</v>
      </c>
      <c r="F36" s="8">
        <v>-5.8890999999999999E-2</v>
      </c>
      <c r="G36" s="8">
        <v>-23851.357</v>
      </c>
      <c r="H36" s="8">
        <v>-38770.864999999998</v>
      </c>
    </row>
    <row r="37" spans="1:8" x14ac:dyDescent="0.15">
      <c r="A37" s="7" t="s">
        <v>315</v>
      </c>
      <c r="B37" s="8" t="s">
        <v>70</v>
      </c>
      <c r="C37" s="8">
        <v>5.8890999999999999E-2</v>
      </c>
      <c r="D37" s="8">
        <v>-2.0930000000000001E-2</v>
      </c>
      <c r="E37" s="8">
        <v>-2.0930000000000001E-2</v>
      </c>
      <c r="F37" s="8">
        <v>-5.8890999999999999E-2</v>
      </c>
      <c r="G37" s="8">
        <v>-23097.555</v>
      </c>
      <c r="H37" s="8">
        <v>-39038.767</v>
      </c>
    </row>
    <row r="38" spans="1:8" x14ac:dyDescent="0.15">
      <c r="A38" s="7" t="s">
        <v>316</v>
      </c>
      <c r="B38" s="8" t="s">
        <v>71</v>
      </c>
      <c r="C38" s="8">
        <v>5.8890999999999999E-2</v>
      </c>
      <c r="D38" s="8">
        <v>-2.0930000000000001E-2</v>
      </c>
      <c r="E38" s="8">
        <v>-2.0930000000000001E-2</v>
      </c>
      <c r="F38" s="8">
        <v>-5.8889999999999998E-2</v>
      </c>
      <c r="G38" s="8">
        <v>-22343.744999999999</v>
      </c>
      <c r="H38" s="8">
        <v>-39306.671999999999</v>
      </c>
    </row>
    <row r="39" spans="1:8" x14ac:dyDescent="0.15">
      <c r="A39" s="7" t="s">
        <v>317</v>
      </c>
      <c r="B39" s="8" t="s">
        <v>66</v>
      </c>
      <c r="C39" s="8">
        <v>5.8890999999999999E-2</v>
      </c>
      <c r="D39" s="8">
        <v>-2.0930000000000001E-2</v>
      </c>
      <c r="E39" s="8">
        <v>-2.0930000000000001E-2</v>
      </c>
      <c r="F39" s="8">
        <v>-5.8889999999999998E-2</v>
      </c>
      <c r="G39" s="8">
        <v>-21589.938999999998</v>
      </c>
      <c r="H39" s="8">
        <v>-39574.576000000001</v>
      </c>
    </row>
    <row r="40" spans="1:8" x14ac:dyDescent="0.15">
      <c r="A40" s="7" t="s">
        <v>318</v>
      </c>
      <c r="B40" s="8" t="s">
        <v>73</v>
      </c>
      <c r="C40" s="8">
        <v>5.8890999999999999E-2</v>
      </c>
      <c r="D40" s="8">
        <v>-2.0930000000000001E-2</v>
      </c>
      <c r="E40" s="8">
        <v>-2.0929E-2</v>
      </c>
      <c r="F40" s="8">
        <v>-5.8889999999999998E-2</v>
      </c>
      <c r="G40" s="8">
        <v>-20836.138999999999</v>
      </c>
      <c r="H40" s="8">
        <v>-39842.478999999999</v>
      </c>
    </row>
    <row r="41" spans="1:8" x14ac:dyDescent="0.15">
      <c r="A41" s="7" t="s">
        <v>319</v>
      </c>
      <c r="B41" s="8" t="s">
        <v>65</v>
      </c>
      <c r="C41" s="8">
        <v>5.8890999999999999E-2</v>
      </c>
      <c r="D41" s="8">
        <v>-2.0930000000000001E-2</v>
      </c>
      <c r="E41" s="8">
        <v>-2.0930000000000001E-2</v>
      </c>
      <c r="F41" s="8">
        <v>-5.8889999999999998E-2</v>
      </c>
      <c r="G41" s="8">
        <v>-20082.331999999999</v>
      </c>
      <c r="H41" s="8">
        <v>-40110.383999999998</v>
      </c>
    </row>
    <row r="42" spans="1:8" x14ac:dyDescent="0.15">
      <c r="A42" s="7" t="s">
        <v>320</v>
      </c>
      <c r="B42" s="8" t="s">
        <v>75</v>
      </c>
      <c r="C42" s="8">
        <v>5.8888000000000003E-2</v>
      </c>
      <c r="D42" s="8">
        <v>-2.0931999999999999E-2</v>
      </c>
      <c r="E42" s="8">
        <v>-2.0931000000000002E-2</v>
      </c>
      <c r="F42" s="8">
        <v>-5.8892E-2</v>
      </c>
      <c r="G42" s="8">
        <v>-27067.414000000001</v>
      </c>
      <c r="H42" s="8">
        <v>-38264.593999999997</v>
      </c>
    </row>
    <row r="43" spans="1:8" x14ac:dyDescent="0.15">
      <c r="A43" s="7" t="s">
        <v>321</v>
      </c>
      <c r="B43" s="8" t="s">
        <v>83</v>
      </c>
      <c r="C43" s="8">
        <v>5.8888000000000003E-2</v>
      </c>
      <c r="D43" s="8">
        <v>-2.0931000000000002E-2</v>
      </c>
      <c r="E43" s="8">
        <v>-2.0931000000000002E-2</v>
      </c>
      <c r="F43" s="8">
        <v>-5.8892E-2</v>
      </c>
      <c r="G43" s="8">
        <v>-26313.643</v>
      </c>
      <c r="H43" s="8">
        <v>-38532.519</v>
      </c>
    </row>
    <row r="44" spans="1:8" x14ac:dyDescent="0.15">
      <c r="A44" s="7" t="s">
        <v>322</v>
      </c>
      <c r="B44" s="8" t="s">
        <v>78</v>
      </c>
      <c r="C44" s="8">
        <v>5.8889999999999998E-2</v>
      </c>
      <c r="D44" s="8">
        <v>-2.0929E-2</v>
      </c>
      <c r="E44" s="8">
        <v>-2.0931000000000002E-2</v>
      </c>
      <c r="F44" s="8">
        <v>-5.8890999999999999E-2</v>
      </c>
      <c r="G44" s="8">
        <v>-25559.873</v>
      </c>
      <c r="H44" s="8">
        <v>-38800.438000000002</v>
      </c>
    </row>
    <row r="45" spans="1:8" x14ac:dyDescent="0.15">
      <c r="A45" s="7" t="s">
        <v>323</v>
      </c>
      <c r="B45" s="8" t="s">
        <v>79</v>
      </c>
      <c r="C45" s="8">
        <v>5.8889999999999998E-2</v>
      </c>
      <c r="D45" s="8">
        <v>-2.0929E-2</v>
      </c>
      <c r="E45" s="8">
        <v>-2.0931000000000002E-2</v>
      </c>
      <c r="F45" s="8">
        <v>-5.8892E-2</v>
      </c>
      <c r="G45" s="8">
        <v>-24806.081999999999</v>
      </c>
      <c r="H45" s="8">
        <v>-39068.328999999998</v>
      </c>
    </row>
    <row r="46" spans="1:8" x14ac:dyDescent="0.15">
      <c r="A46" s="7" t="s">
        <v>324</v>
      </c>
      <c r="B46" s="8" t="s">
        <v>80</v>
      </c>
      <c r="C46" s="8">
        <v>5.9712000000000001E-2</v>
      </c>
      <c r="D46" s="8">
        <v>-2.1221E-2</v>
      </c>
      <c r="E46" s="8">
        <v>-2.1222000000000001E-2</v>
      </c>
      <c r="F46" s="8">
        <v>-5.9712000000000001E-2</v>
      </c>
      <c r="G46" s="8">
        <v>-24052.289000000001</v>
      </c>
      <c r="H46" s="8">
        <v>-39336.222999999998</v>
      </c>
    </row>
    <row r="47" spans="1:8" x14ac:dyDescent="0.15">
      <c r="A47" s="7" t="s">
        <v>325</v>
      </c>
      <c r="B47" s="8" t="s">
        <v>81</v>
      </c>
      <c r="C47" s="8">
        <v>5.8890999999999999E-2</v>
      </c>
      <c r="D47" s="8">
        <v>-2.0930000000000001E-2</v>
      </c>
      <c r="E47" s="8">
        <v>-2.0930000000000001E-2</v>
      </c>
      <c r="F47" s="8">
        <v>-5.8890999999999999E-2</v>
      </c>
      <c r="G47" s="8">
        <v>-23298.487000000001</v>
      </c>
      <c r="H47" s="8">
        <v>-39604.118999999999</v>
      </c>
    </row>
    <row r="48" spans="1:8" x14ac:dyDescent="0.15">
      <c r="A48" s="7" t="s">
        <v>326</v>
      </c>
      <c r="B48" s="8" t="s">
        <v>82</v>
      </c>
      <c r="C48" s="8">
        <v>5.8890999999999999E-2</v>
      </c>
      <c r="D48" s="8">
        <v>-2.0930000000000001E-2</v>
      </c>
      <c r="E48" s="8">
        <v>-2.0930000000000001E-2</v>
      </c>
      <c r="F48" s="8">
        <v>-5.8890999999999999E-2</v>
      </c>
      <c r="G48" s="8">
        <v>-22544.675999999999</v>
      </c>
      <c r="H48" s="8">
        <v>-39872.019999999997</v>
      </c>
    </row>
    <row r="49" spans="1:8" x14ac:dyDescent="0.15">
      <c r="A49" s="7" t="s">
        <v>327</v>
      </c>
      <c r="B49" s="8" t="s">
        <v>77</v>
      </c>
      <c r="C49" s="8">
        <v>5.8890999999999999E-2</v>
      </c>
      <c r="D49" s="8">
        <v>-2.0930000000000001E-2</v>
      </c>
      <c r="E49" s="8">
        <v>-2.0930000000000001E-2</v>
      </c>
      <c r="F49" s="8">
        <v>-5.8890999999999999E-2</v>
      </c>
      <c r="G49" s="8">
        <v>-21790.866999999998</v>
      </c>
      <c r="H49" s="8">
        <v>-40139.923000000003</v>
      </c>
    </row>
    <row r="50" spans="1:8" x14ac:dyDescent="0.15">
      <c r="A50" s="7" t="s">
        <v>328</v>
      </c>
      <c r="B50" s="8" t="s">
        <v>84</v>
      </c>
      <c r="C50" s="8">
        <v>5.8890999999999999E-2</v>
      </c>
      <c r="D50" s="8">
        <v>-2.0930000000000001E-2</v>
      </c>
      <c r="E50" s="8">
        <v>-2.0929E-2</v>
      </c>
      <c r="F50" s="8">
        <v>-5.8890999999999999E-2</v>
      </c>
      <c r="G50" s="8">
        <v>-21037.062000000002</v>
      </c>
      <c r="H50" s="8">
        <v>-40407.824999999997</v>
      </c>
    </row>
    <row r="51" spans="1:8" x14ac:dyDescent="0.15">
      <c r="A51" s="7" t="s">
        <v>329</v>
      </c>
      <c r="B51" s="8" t="s">
        <v>76</v>
      </c>
      <c r="C51" s="8">
        <v>5.8890999999999999E-2</v>
      </c>
      <c r="D51" s="8">
        <v>-2.0930000000000001E-2</v>
      </c>
      <c r="E51" s="8">
        <v>-2.0929E-2</v>
      </c>
      <c r="F51" s="8">
        <v>-5.8890999999999999E-2</v>
      </c>
      <c r="G51" s="8">
        <v>-20283.257000000001</v>
      </c>
      <c r="H51" s="8">
        <v>-40675.730000000003</v>
      </c>
    </row>
    <row r="52" spans="1:8" x14ac:dyDescent="0.15">
      <c r="A52" s="7" t="s">
        <v>330</v>
      </c>
      <c r="B52" s="8" t="s">
        <v>86</v>
      </c>
      <c r="C52" s="8">
        <v>5.9784999999999998E-2</v>
      </c>
      <c r="D52" s="8">
        <v>-2.1250000000000002E-2</v>
      </c>
      <c r="E52" s="8">
        <v>-2.1284000000000001E-2</v>
      </c>
      <c r="F52" s="8">
        <v>-5.9884E-2</v>
      </c>
      <c r="G52" s="8">
        <v>-27268.35</v>
      </c>
      <c r="H52" s="8">
        <v>-38829.96</v>
      </c>
    </row>
    <row r="53" spans="1:8" x14ac:dyDescent="0.15">
      <c r="A53" s="7" t="s">
        <v>331</v>
      </c>
      <c r="B53" s="8" t="s">
        <v>94</v>
      </c>
      <c r="C53" s="8">
        <v>5.8888999999999997E-2</v>
      </c>
      <c r="D53" s="8">
        <v>-2.0931000000000002E-2</v>
      </c>
      <c r="E53" s="8">
        <v>-2.0931000000000002E-2</v>
      </c>
      <c r="F53" s="8">
        <v>-5.8892E-2</v>
      </c>
      <c r="G53" s="8">
        <v>-26514.581999999999</v>
      </c>
      <c r="H53" s="8">
        <v>-39097.879000000001</v>
      </c>
    </row>
    <row r="54" spans="1:8" x14ac:dyDescent="0.15">
      <c r="A54" s="7" t="s">
        <v>332</v>
      </c>
      <c r="B54" s="8" t="s">
        <v>89</v>
      </c>
      <c r="C54" s="8">
        <v>5.8889999999999998E-2</v>
      </c>
      <c r="D54" s="8">
        <v>-2.0929E-2</v>
      </c>
      <c r="E54" s="8">
        <v>-2.0931000000000002E-2</v>
      </c>
      <c r="F54" s="8">
        <v>-5.8890999999999999E-2</v>
      </c>
      <c r="G54" s="8">
        <v>-25760.808000000001</v>
      </c>
      <c r="H54" s="8">
        <v>-39365.790999999997</v>
      </c>
    </row>
    <row r="55" spans="1:8" x14ac:dyDescent="0.15">
      <c r="A55" s="7" t="s">
        <v>333</v>
      </c>
      <c r="B55" s="8" t="s">
        <v>90</v>
      </c>
      <c r="C55" s="8">
        <v>5.8889999999999998E-2</v>
      </c>
      <c r="D55" s="8">
        <v>-2.0929E-2</v>
      </c>
      <c r="E55" s="8">
        <v>-2.0931000000000002E-2</v>
      </c>
      <c r="F55" s="8">
        <v>-5.8892E-2</v>
      </c>
      <c r="G55" s="8">
        <v>-25007.02</v>
      </c>
      <c r="H55" s="8">
        <v>-39633.688000000002</v>
      </c>
    </row>
    <row r="56" spans="1:8" x14ac:dyDescent="0.15">
      <c r="A56" s="7" t="s">
        <v>334</v>
      </c>
      <c r="B56" s="8" t="s">
        <v>91</v>
      </c>
      <c r="C56" s="8">
        <v>5.8890999999999999E-2</v>
      </c>
      <c r="D56" s="8">
        <v>-2.0929E-2</v>
      </c>
      <c r="E56" s="8">
        <v>-2.0931000000000002E-2</v>
      </c>
      <c r="F56" s="8">
        <v>-5.8892E-2</v>
      </c>
      <c r="G56" s="8">
        <v>-24253.223000000002</v>
      </c>
      <c r="H56" s="8">
        <v>-39901.58</v>
      </c>
    </row>
    <row r="57" spans="1:8" x14ac:dyDescent="0.15">
      <c r="A57" s="7" t="s">
        <v>335</v>
      </c>
      <c r="B57" s="8" t="s">
        <v>92</v>
      </c>
      <c r="C57" s="8">
        <v>5.8890999999999999E-2</v>
      </c>
      <c r="D57" s="8">
        <v>-2.0930000000000001E-2</v>
      </c>
      <c r="E57" s="8">
        <v>-2.0930000000000001E-2</v>
      </c>
      <c r="F57" s="8">
        <v>-5.8890999999999999E-2</v>
      </c>
      <c r="G57" s="8">
        <v>-23499.417000000001</v>
      </c>
      <c r="H57" s="8">
        <v>-40169.472000000002</v>
      </c>
    </row>
    <row r="58" spans="1:8" x14ac:dyDescent="0.15">
      <c r="A58" s="7" t="s">
        <v>336</v>
      </c>
      <c r="B58" s="8" t="s">
        <v>93</v>
      </c>
      <c r="C58" s="8">
        <v>5.8892E-2</v>
      </c>
      <c r="D58" s="8">
        <v>-2.0930000000000001E-2</v>
      </c>
      <c r="E58" s="8">
        <v>-2.0930000000000001E-2</v>
      </c>
      <c r="F58" s="8">
        <v>-5.8890999999999999E-2</v>
      </c>
      <c r="G58" s="8">
        <v>-22745.606</v>
      </c>
      <c r="H58" s="8">
        <v>-40437.370999999999</v>
      </c>
    </row>
    <row r="59" spans="1:8" x14ac:dyDescent="0.15">
      <c r="A59" s="7" t="s">
        <v>337</v>
      </c>
      <c r="B59" s="8" t="s">
        <v>88</v>
      </c>
      <c r="C59" s="8">
        <v>5.8890999999999999E-2</v>
      </c>
      <c r="D59" s="8">
        <v>-2.0930000000000001E-2</v>
      </c>
      <c r="E59" s="8">
        <v>-2.0930000000000001E-2</v>
      </c>
      <c r="F59" s="8">
        <v>-5.8890999999999999E-2</v>
      </c>
      <c r="G59" s="8">
        <v>-21991.794000000002</v>
      </c>
      <c r="H59" s="8">
        <v>-40705.273999999998</v>
      </c>
    </row>
    <row r="60" spans="1:8" x14ac:dyDescent="0.15">
      <c r="A60" s="7" t="s">
        <v>338</v>
      </c>
      <c r="B60" s="8" t="s">
        <v>85</v>
      </c>
      <c r="C60" s="8">
        <v>5.8890999999999999E-2</v>
      </c>
      <c r="D60" s="8">
        <v>-2.0930000000000001E-2</v>
      </c>
      <c r="E60" s="8">
        <v>-2.0929E-2</v>
      </c>
      <c r="F60" s="8">
        <v>-5.8890999999999999E-2</v>
      </c>
      <c r="G60" s="8">
        <v>-21237.984</v>
      </c>
      <c r="H60" s="8">
        <v>-40973.178</v>
      </c>
    </row>
    <row r="61" spans="1:8" x14ac:dyDescent="0.15">
      <c r="A61" s="7" t="s">
        <v>339</v>
      </c>
      <c r="B61" s="8" t="s">
        <v>87</v>
      </c>
      <c r="C61" s="8">
        <v>5.8889999999999998E-2</v>
      </c>
      <c r="D61" s="8">
        <v>-2.0930000000000001E-2</v>
      </c>
      <c r="E61" s="8">
        <v>-2.0929E-2</v>
      </c>
      <c r="F61" s="8">
        <v>-5.8890999999999999E-2</v>
      </c>
      <c r="G61" s="8">
        <v>-20484.174999999999</v>
      </c>
      <c r="H61" s="8">
        <v>-41241.080999999998</v>
      </c>
    </row>
    <row r="62" spans="1:8" x14ac:dyDescent="0.15">
      <c r="A62" s="7" t="s">
        <v>340</v>
      </c>
      <c r="B62" s="8" t="s">
        <v>106</v>
      </c>
      <c r="C62" s="8">
        <v>5.8889999999999998E-2</v>
      </c>
      <c r="D62" s="8">
        <v>-2.0931999999999999E-2</v>
      </c>
      <c r="E62" s="8">
        <v>-2.0929E-2</v>
      </c>
      <c r="F62" s="8">
        <v>-5.8892E-2</v>
      </c>
      <c r="G62" s="8">
        <v>-19730.383000000002</v>
      </c>
      <c r="H62" s="8">
        <v>-41508.987000000001</v>
      </c>
    </row>
    <row r="63" spans="1:8" x14ac:dyDescent="0.15">
      <c r="A63" s="7" t="s">
        <v>341</v>
      </c>
      <c r="B63" s="8" t="s">
        <v>105</v>
      </c>
      <c r="C63" s="8">
        <v>5.8888999999999997E-2</v>
      </c>
      <c r="D63" s="8">
        <v>-2.0931999999999999E-2</v>
      </c>
      <c r="E63" s="8">
        <v>-2.0930000000000001E-2</v>
      </c>
      <c r="F63" s="8">
        <v>-5.8890999999999999E-2</v>
      </c>
      <c r="G63" s="8">
        <v>-18976.593000000001</v>
      </c>
      <c r="H63" s="8">
        <v>-41776.911</v>
      </c>
    </row>
    <row r="64" spans="1:8" x14ac:dyDescent="0.15">
      <c r="A64" s="7" t="s">
        <v>342</v>
      </c>
      <c r="B64" s="8" t="s">
        <v>97</v>
      </c>
      <c r="C64" s="8">
        <v>5.8888000000000003E-2</v>
      </c>
      <c r="D64" s="8">
        <v>-2.0931000000000002E-2</v>
      </c>
      <c r="E64" s="8">
        <v>-2.0931999999999999E-2</v>
      </c>
      <c r="F64" s="8">
        <v>-5.8892E-2</v>
      </c>
      <c r="G64" s="8">
        <v>-27469.289000000001</v>
      </c>
      <c r="H64" s="8">
        <v>-39395.326999999997</v>
      </c>
    </row>
    <row r="65" spans="1:8" x14ac:dyDescent="0.15">
      <c r="A65" s="7" t="s">
        <v>343</v>
      </c>
      <c r="B65" s="8" t="s">
        <v>95</v>
      </c>
      <c r="C65" s="8">
        <v>5.8888999999999997E-2</v>
      </c>
      <c r="D65" s="8">
        <v>-2.0930000000000001E-2</v>
      </c>
      <c r="E65" s="8">
        <v>-2.0931000000000002E-2</v>
      </c>
      <c r="F65" s="8">
        <v>-5.8892E-2</v>
      </c>
      <c r="G65" s="8">
        <v>-26715.521000000001</v>
      </c>
      <c r="H65" s="8">
        <v>-39663.241000000002</v>
      </c>
    </row>
    <row r="66" spans="1:8" x14ac:dyDescent="0.15">
      <c r="A66" s="7" t="s">
        <v>344</v>
      </c>
      <c r="B66" s="8" t="s">
        <v>100</v>
      </c>
      <c r="C66" s="8">
        <v>5.9743999999999998E-2</v>
      </c>
      <c r="D66" s="8">
        <v>-2.1232999999999998E-2</v>
      </c>
      <c r="E66" s="8">
        <v>-2.1295000000000001E-2</v>
      </c>
      <c r="F66" s="8">
        <v>-5.9915000000000003E-2</v>
      </c>
      <c r="G66" s="8">
        <v>-25961.744999999999</v>
      </c>
      <c r="H66" s="8">
        <v>-39931.148999999998</v>
      </c>
    </row>
    <row r="67" spans="1:8" x14ac:dyDescent="0.15">
      <c r="A67" s="7" t="s">
        <v>345</v>
      </c>
      <c r="B67" s="8" t="s">
        <v>101</v>
      </c>
      <c r="C67" s="8">
        <v>5.9740000000000001E-2</v>
      </c>
      <c r="D67" s="8">
        <v>-2.1231E-2</v>
      </c>
      <c r="E67" s="8">
        <v>-2.1298000000000001E-2</v>
      </c>
      <c r="F67" s="8">
        <v>-5.9922000000000003E-2</v>
      </c>
      <c r="G67" s="8">
        <v>-25207.957999999999</v>
      </c>
      <c r="H67" s="8">
        <v>-40199.048000000003</v>
      </c>
    </row>
    <row r="68" spans="1:8" x14ac:dyDescent="0.15">
      <c r="A68" s="7" t="s">
        <v>346</v>
      </c>
      <c r="B68" s="8" t="s">
        <v>102</v>
      </c>
      <c r="C68" s="8">
        <v>5.9746E-2</v>
      </c>
      <c r="D68" s="8">
        <v>-2.1232000000000001E-2</v>
      </c>
      <c r="E68" s="8">
        <v>-2.1295000000000001E-2</v>
      </c>
      <c r="F68" s="8">
        <v>-5.9915000000000003E-2</v>
      </c>
      <c r="G68" s="8">
        <v>-24454.16</v>
      </c>
      <c r="H68" s="8">
        <v>-40466.938999999998</v>
      </c>
    </row>
    <row r="69" spans="1:8" x14ac:dyDescent="0.15">
      <c r="A69" s="7" t="s">
        <v>347</v>
      </c>
      <c r="B69" s="8" t="s">
        <v>103</v>
      </c>
      <c r="C69" s="8">
        <v>5.8892E-2</v>
      </c>
      <c r="D69" s="8">
        <v>-2.0929E-2</v>
      </c>
      <c r="E69" s="8">
        <v>-2.0931000000000002E-2</v>
      </c>
      <c r="F69" s="8">
        <v>-5.8890999999999999E-2</v>
      </c>
      <c r="G69" s="8">
        <v>-23700.348999999998</v>
      </c>
      <c r="H69" s="8">
        <v>-40734.828999999998</v>
      </c>
    </row>
    <row r="70" spans="1:8" x14ac:dyDescent="0.15">
      <c r="A70" s="7" t="s">
        <v>348</v>
      </c>
      <c r="B70" s="8" t="s">
        <v>104</v>
      </c>
      <c r="C70" s="8">
        <v>5.8892E-2</v>
      </c>
      <c r="D70" s="8">
        <v>-2.0930000000000001E-2</v>
      </c>
      <c r="E70" s="8">
        <v>-2.0930000000000001E-2</v>
      </c>
      <c r="F70" s="8">
        <v>-5.8890999999999999E-2</v>
      </c>
      <c r="G70" s="8">
        <v>-22946.535</v>
      </c>
      <c r="H70" s="8">
        <v>-41002.724999999999</v>
      </c>
    </row>
    <row r="71" spans="1:8" x14ac:dyDescent="0.15">
      <c r="A71" s="7" t="s">
        <v>349</v>
      </c>
      <c r="B71" s="8" t="s">
        <v>99</v>
      </c>
      <c r="C71" s="8">
        <v>5.8892E-2</v>
      </c>
      <c r="D71" s="8">
        <v>-2.0930000000000001E-2</v>
      </c>
      <c r="E71" s="8">
        <v>-2.0930000000000001E-2</v>
      </c>
      <c r="F71" s="8">
        <v>-5.8890999999999999E-2</v>
      </c>
      <c r="G71" s="8">
        <v>-22192.721000000001</v>
      </c>
      <c r="H71" s="8">
        <v>-41270.625999999997</v>
      </c>
    </row>
    <row r="72" spans="1:8" x14ac:dyDescent="0.15">
      <c r="A72" s="7" t="s">
        <v>350</v>
      </c>
      <c r="B72" s="8" t="s">
        <v>96</v>
      </c>
      <c r="C72" s="8">
        <v>5.8892E-2</v>
      </c>
      <c r="D72" s="8">
        <v>-2.0930000000000001E-2</v>
      </c>
      <c r="E72" s="8">
        <v>-2.0930000000000001E-2</v>
      </c>
      <c r="F72" s="8">
        <v>-5.8892E-2</v>
      </c>
      <c r="G72" s="8">
        <v>-21438.906999999999</v>
      </c>
      <c r="H72" s="8">
        <v>-41538.533000000003</v>
      </c>
    </row>
    <row r="73" spans="1:8" x14ac:dyDescent="0.15">
      <c r="A73" s="7" t="s">
        <v>351</v>
      </c>
      <c r="B73" s="8" t="s">
        <v>98</v>
      </c>
      <c r="C73" s="8">
        <v>5.8889999999999998E-2</v>
      </c>
      <c r="D73" s="8">
        <v>-2.0930000000000001E-2</v>
      </c>
      <c r="E73" s="8">
        <v>-2.0929E-2</v>
      </c>
      <c r="F73" s="8">
        <v>-5.8892E-2</v>
      </c>
      <c r="G73" s="8">
        <v>-20685.095000000001</v>
      </c>
      <c r="H73" s="8">
        <v>-41806.438999999998</v>
      </c>
    </row>
    <row r="74" spans="1:8" x14ac:dyDescent="0.15">
      <c r="A74" s="7" t="s">
        <v>352</v>
      </c>
      <c r="B74" s="8" t="s">
        <v>107</v>
      </c>
      <c r="C74" s="8">
        <v>5.8888999999999997E-2</v>
      </c>
      <c r="D74" s="8">
        <v>-2.0931000000000002E-2</v>
      </c>
      <c r="E74" s="8">
        <v>-2.0929E-2</v>
      </c>
      <c r="F74" s="8">
        <v>-5.8892E-2</v>
      </c>
      <c r="G74" s="8">
        <v>-19931.3</v>
      </c>
      <c r="H74" s="8">
        <v>-42074.347999999998</v>
      </c>
    </row>
    <row r="75" spans="1:8" x14ac:dyDescent="0.15">
      <c r="A75" s="7" t="s">
        <v>353</v>
      </c>
      <c r="B75" s="8" t="s">
        <v>109</v>
      </c>
      <c r="C75" s="8">
        <v>5.8888999999999997E-2</v>
      </c>
      <c r="D75" s="8">
        <v>-2.0930000000000001E-2</v>
      </c>
      <c r="E75" s="8">
        <v>-2.0931999999999999E-2</v>
      </c>
      <c r="F75" s="8">
        <v>-5.8892E-2</v>
      </c>
      <c r="G75" s="8">
        <v>-26916.463</v>
      </c>
      <c r="H75" s="8">
        <v>-40228.603000000003</v>
      </c>
    </row>
    <row r="76" spans="1:8" x14ac:dyDescent="0.15">
      <c r="A76" s="7" t="s">
        <v>354</v>
      </c>
      <c r="B76" s="8" t="s">
        <v>113</v>
      </c>
      <c r="C76" s="8">
        <v>5.8888999999999997E-2</v>
      </c>
      <c r="D76" s="8">
        <v>-2.0930000000000001E-2</v>
      </c>
      <c r="E76" s="8">
        <v>-2.0931999999999999E-2</v>
      </c>
      <c r="F76" s="8">
        <v>-5.8892E-2</v>
      </c>
      <c r="G76" s="8">
        <v>-26162.686000000002</v>
      </c>
      <c r="H76" s="8">
        <v>-40496.51</v>
      </c>
    </row>
    <row r="77" spans="1:8" x14ac:dyDescent="0.15">
      <c r="A77" s="7" t="s">
        <v>355</v>
      </c>
      <c r="B77" s="8" t="s">
        <v>114</v>
      </c>
      <c r="C77" s="8">
        <v>5.9773E-2</v>
      </c>
      <c r="D77" s="8">
        <v>-2.1242E-2</v>
      </c>
      <c r="E77" s="8">
        <v>-2.1281999999999999E-2</v>
      </c>
      <c r="F77" s="8">
        <v>-5.9877E-2</v>
      </c>
      <c r="G77" s="8">
        <v>-25408.901000000002</v>
      </c>
      <c r="H77" s="8">
        <v>-40764.411</v>
      </c>
    </row>
    <row r="78" spans="1:8" x14ac:dyDescent="0.15">
      <c r="A78" s="7" t="s">
        <v>356</v>
      </c>
      <c r="B78" s="8" t="s">
        <v>115</v>
      </c>
      <c r="C78" s="8">
        <v>5.8892E-2</v>
      </c>
      <c r="D78" s="8">
        <v>-2.0929E-2</v>
      </c>
      <c r="E78" s="8">
        <v>-2.0931999999999999E-2</v>
      </c>
      <c r="F78" s="8">
        <v>-5.8892E-2</v>
      </c>
      <c r="G78" s="8">
        <v>-24655.098000000002</v>
      </c>
      <c r="H78" s="8">
        <v>-41032.300000000003</v>
      </c>
    </row>
    <row r="79" spans="1:8" x14ac:dyDescent="0.15">
      <c r="A79" s="7" t="s">
        <v>357</v>
      </c>
      <c r="B79" s="8" t="s">
        <v>116</v>
      </c>
      <c r="C79" s="8">
        <v>5.8892E-2</v>
      </c>
      <c r="D79" s="8">
        <v>-2.0929E-2</v>
      </c>
      <c r="E79" s="8">
        <v>-2.0931000000000002E-2</v>
      </c>
      <c r="F79" s="8">
        <v>-5.8892E-2</v>
      </c>
      <c r="G79" s="8">
        <v>-23901.282999999999</v>
      </c>
      <c r="H79" s="8">
        <v>-41300.186999999998</v>
      </c>
    </row>
    <row r="80" spans="1:8" x14ac:dyDescent="0.15">
      <c r="A80" s="7" t="s">
        <v>358</v>
      </c>
      <c r="B80" s="8" t="s">
        <v>117</v>
      </c>
      <c r="C80" s="8">
        <v>5.8892E-2</v>
      </c>
      <c r="D80" s="8">
        <v>-2.0930000000000001E-2</v>
      </c>
      <c r="E80" s="8">
        <v>-2.0930000000000001E-2</v>
      </c>
      <c r="F80" s="8">
        <v>-5.8890999999999999E-2</v>
      </c>
      <c r="G80" s="8">
        <v>-23147.465</v>
      </c>
      <c r="H80" s="8">
        <v>-41568.080000000002</v>
      </c>
    </row>
    <row r="81" spans="1:8" x14ac:dyDescent="0.15">
      <c r="A81" s="7" t="s">
        <v>359</v>
      </c>
      <c r="B81" s="8" t="s">
        <v>112</v>
      </c>
      <c r="C81" s="8">
        <v>5.8892E-2</v>
      </c>
      <c r="D81" s="8">
        <v>-2.0930000000000001E-2</v>
      </c>
      <c r="E81" s="8">
        <v>-2.0931000000000002E-2</v>
      </c>
      <c r="F81" s="8">
        <v>-5.8892E-2</v>
      </c>
      <c r="G81" s="8">
        <v>-22393.651000000002</v>
      </c>
      <c r="H81" s="8">
        <v>-41835.983999999997</v>
      </c>
    </row>
    <row r="82" spans="1:8" x14ac:dyDescent="0.15">
      <c r="A82" s="7" t="s">
        <v>360</v>
      </c>
      <c r="B82" s="8" t="s">
        <v>110</v>
      </c>
      <c r="C82" s="8">
        <v>5.8892E-2</v>
      </c>
      <c r="D82" s="8">
        <v>-2.0930000000000001E-2</v>
      </c>
      <c r="E82" s="8">
        <v>-2.0931000000000002E-2</v>
      </c>
      <c r="F82" s="8">
        <v>-5.8892E-2</v>
      </c>
      <c r="G82" s="8">
        <v>-21639.834999999999</v>
      </c>
      <c r="H82" s="8">
        <v>-42103.892999999996</v>
      </c>
    </row>
    <row r="83" spans="1:8" x14ac:dyDescent="0.15">
      <c r="A83" s="7" t="s">
        <v>361</v>
      </c>
      <c r="B83" s="8" t="s">
        <v>108</v>
      </c>
      <c r="C83" s="8">
        <v>5.9834999999999999E-2</v>
      </c>
      <c r="D83" s="8">
        <v>-2.1266E-2</v>
      </c>
      <c r="E83" s="8">
        <v>-2.1264999999999999E-2</v>
      </c>
      <c r="F83" s="8">
        <v>-5.9833999999999998E-2</v>
      </c>
      <c r="G83" s="8">
        <v>-20886.018</v>
      </c>
      <c r="H83" s="8">
        <v>-42371.8</v>
      </c>
    </row>
    <row r="84" spans="1:8" x14ac:dyDescent="0.15">
      <c r="A84" s="7" t="s">
        <v>362</v>
      </c>
      <c r="B84" s="8" t="s">
        <v>118</v>
      </c>
      <c r="C84" s="8">
        <v>5.9832000000000003E-2</v>
      </c>
      <c r="D84" s="8">
        <v>-2.1267000000000001E-2</v>
      </c>
      <c r="E84" s="8">
        <v>-2.1263000000000001E-2</v>
      </c>
      <c r="F84" s="8">
        <v>-5.9832999999999997E-2</v>
      </c>
      <c r="G84" s="8">
        <v>-20132.216</v>
      </c>
      <c r="H84" s="8">
        <v>-42639.71</v>
      </c>
    </row>
    <row r="85" spans="1:8" x14ac:dyDescent="0.15">
      <c r="A85" s="7" t="s">
        <v>363</v>
      </c>
      <c r="B85" s="8" t="s">
        <v>111</v>
      </c>
      <c r="C85" s="8">
        <v>5.8888000000000003E-2</v>
      </c>
      <c r="D85" s="8">
        <v>-2.0931000000000002E-2</v>
      </c>
      <c r="E85" s="8">
        <v>-2.0931000000000002E-2</v>
      </c>
      <c r="F85" s="8">
        <v>-5.8893000000000001E-2</v>
      </c>
      <c r="G85" s="8">
        <v>-19378.45</v>
      </c>
      <c r="H85" s="8">
        <v>-42907.627999999997</v>
      </c>
    </row>
    <row r="86" spans="1:8" x14ac:dyDescent="0.15">
      <c r="A86" s="7" t="s">
        <v>364</v>
      </c>
      <c r="B86" s="8" t="s">
        <v>130</v>
      </c>
      <c r="C86" s="8">
        <v>5.8888000000000003E-2</v>
      </c>
      <c r="D86" s="8">
        <v>-2.0930000000000001E-2</v>
      </c>
      <c r="E86" s="8">
        <v>-2.0931999999999999E-2</v>
      </c>
      <c r="F86" s="8">
        <v>-5.8892E-2</v>
      </c>
      <c r="G86" s="8">
        <v>-27871.18</v>
      </c>
      <c r="H86" s="8">
        <v>-40526.057000000001</v>
      </c>
    </row>
    <row r="87" spans="1:8" x14ac:dyDescent="0.15">
      <c r="A87" s="7" t="s">
        <v>365</v>
      </c>
      <c r="B87" s="8" t="s">
        <v>121</v>
      </c>
      <c r="C87" s="8">
        <v>5.8888999999999997E-2</v>
      </c>
      <c r="D87" s="8">
        <v>-2.0930000000000001E-2</v>
      </c>
      <c r="E87" s="8">
        <v>-2.0931999999999999E-2</v>
      </c>
      <c r="F87" s="8">
        <v>-5.8892E-2</v>
      </c>
      <c r="G87" s="8">
        <v>-27117.407999999999</v>
      </c>
      <c r="H87" s="8">
        <v>-40793.966</v>
      </c>
    </row>
    <row r="88" spans="1:8" x14ac:dyDescent="0.15">
      <c r="A88" s="7" t="s">
        <v>366</v>
      </c>
      <c r="B88" s="8" t="s">
        <v>124</v>
      </c>
      <c r="C88" s="8">
        <v>5.8889999999999998E-2</v>
      </c>
      <c r="D88" s="8">
        <v>-2.0930000000000001E-2</v>
      </c>
      <c r="E88" s="8">
        <v>-2.0931999999999999E-2</v>
      </c>
      <c r="F88" s="8">
        <v>-5.8892E-2</v>
      </c>
      <c r="G88" s="8">
        <v>-26363.632000000001</v>
      </c>
      <c r="H88" s="8">
        <v>-41061.873</v>
      </c>
    </row>
    <row r="89" spans="1:8" x14ac:dyDescent="0.15">
      <c r="A89" s="7" t="s">
        <v>367</v>
      </c>
      <c r="B89" s="8" t="s">
        <v>125</v>
      </c>
      <c r="C89" s="8">
        <v>5.9788000000000001E-2</v>
      </c>
      <c r="D89" s="8">
        <v>-2.1248E-2</v>
      </c>
      <c r="E89" s="8">
        <v>-2.1277999999999998E-2</v>
      </c>
      <c r="F89" s="8">
        <v>-5.9865000000000002E-2</v>
      </c>
      <c r="G89" s="8">
        <v>-25609.845000000001</v>
      </c>
      <c r="H89" s="8">
        <v>-41329.773999999998</v>
      </c>
    </row>
    <row r="90" spans="1:8" x14ac:dyDescent="0.15">
      <c r="A90" s="7" t="s">
        <v>368</v>
      </c>
      <c r="B90" s="8" t="s">
        <v>126</v>
      </c>
      <c r="C90" s="8">
        <v>5.9783999999999997E-2</v>
      </c>
      <c r="D90" s="8">
        <v>-2.1246000000000001E-2</v>
      </c>
      <c r="E90" s="8">
        <v>-2.128E-2</v>
      </c>
      <c r="F90" s="8">
        <v>-5.9872000000000002E-2</v>
      </c>
      <c r="G90" s="8">
        <v>-24856.041000000001</v>
      </c>
      <c r="H90" s="8">
        <v>-41597.663999999997</v>
      </c>
    </row>
    <row r="91" spans="1:8" x14ac:dyDescent="0.15">
      <c r="A91" s="7" t="s">
        <v>369</v>
      </c>
      <c r="B91" s="8" t="s">
        <v>127</v>
      </c>
      <c r="C91" s="8">
        <v>5.8893000000000001E-2</v>
      </c>
      <c r="D91" s="8">
        <v>-2.0929E-2</v>
      </c>
      <c r="E91" s="8">
        <v>-2.0931999999999999E-2</v>
      </c>
      <c r="F91" s="8">
        <v>-5.8892E-2</v>
      </c>
      <c r="G91" s="8">
        <v>-24102.223000000002</v>
      </c>
      <c r="H91" s="8">
        <v>-41865.548999999999</v>
      </c>
    </row>
    <row r="92" spans="1:8" x14ac:dyDescent="0.15">
      <c r="A92" s="7" t="s">
        <v>370</v>
      </c>
      <c r="B92" s="8" t="s">
        <v>128</v>
      </c>
      <c r="C92" s="8">
        <v>5.8890999999999999E-2</v>
      </c>
      <c r="D92" s="8">
        <v>-2.0930000000000001E-2</v>
      </c>
      <c r="E92" s="8">
        <v>-2.0931000000000002E-2</v>
      </c>
      <c r="F92" s="8">
        <v>-5.8890999999999999E-2</v>
      </c>
      <c r="G92" s="8">
        <v>-23348.396000000001</v>
      </c>
      <c r="H92" s="8">
        <v>-42133.434999999998</v>
      </c>
    </row>
    <row r="93" spans="1:8" x14ac:dyDescent="0.15">
      <c r="A93" s="7" t="s">
        <v>371</v>
      </c>
      <c r="B93" s="8" t="s">
        <v>123</v>
      </c>
      <c r="C93" s="8">
        <v>5.9788000000000001E-2</v>
      </c>
      <c r="D93" s="8">
        <v>-2.1250000000000002E-2</v>
      </c>
      <c r="E93" s="8">
        <v>-2.1284000000000001E-2</v>
      </c>
      <c r="F93" s="8">
        <v>-5.9884E-2</v>
      </c>
      <c r="G93" s="8">
        <v>-22594.584999999999</v>
      </c>
      <c r="H93" s="8">
        <v>-42401.343000000001</v>
      </c>
    </row>
    <row r="94" spans="1:8" x14ac:dyDescent="0.15">
      <c r="A94" s="7" t="s">
        <v>372</v>
      </c>
      <c r="B94" s="8" t="s">
        <v>122</v>
      </c>
      <c r="C94" s="8">
        <v>5.8892E-2</v>
      </c>
      <c r="D94" s="8">
        <v>-2.0931000000000002E-2</v>
      </c>
      <c r="E94" s="8">
        <v>-2.0931999999999999E-2</v>
      </c>
      <c r="F94" s="8">
        <v>-5.8893000000000001E-2</v>
      </c>
      <c r="G94" s="8">
        <v>-21840.773000000001</v>
      </c>
      <c r="H94" s="8">
        <v>-42669.256999999998</v>
      </c>
    </row>
    <row r="95" spans="1:8" x14ac:dyDescent="0.15">
      <c r="A95" s="7" t="s">
        <v>373</v>
      </c>
      <c r="B95" s="8" t="s">
        <v>120</v>
      </c>
      <c r="C95" s="8">
        <v>5.8893000000000001E-2</v>
      </c>
      <c r="D95" s="8">
        <v>-2.0930000000000001E-2</v>
      </c>
      <c r="E95" s="8">
        <v>-2.0933E-2</v>
      </c>
      <c r="F95" s="8">
        <v>-5.8893000000000001E-2</v>
      </c>
      <c r="G95" s="8">
        <v>-21086.95</v>
      </c>
      <c r="H95" s="8">
        <v>-42937.167999999998</v>
      </c>
    </row>
    <row r="96" spans="1:8" x14ac:dyDescent="0.15">
      <c r="A96" s="7" t="s">
        <v>374</v>
      </c>
      <c r="B96" s="8" t="s">
        <v>129</v>
      </c>
      <c r="C96" s="8">
        <v>5.9830000000000001E-2</v>
      </c>
      <c r="D96" s="8">
        <v>-2.1267000000000001E-2</v>
      </c>
      <c r="E96" s="8">
        <v>-2.1267999999999999E-2</v>
      </c>
      <c r="F96" s="8">
        <v>-5.9834999999999999E-2</v>
      </c>
      <c r="G96" s="8">
        <v>-20333.126</v>
      </c>
      <c r="H96" s="8">
        <v>-43205.074000000001</v>
      </c>
    </row>
    <row r="97" spans="1:8" x14ac:dyDescent="0.15">
      <c r="A97" s="7" t="s">
        <v>375</v>
      </c>
      <c r="B97" s="8" t="s">
        <v>119</v>
      </c>
      <c r="C97" s="8">
        <v>5.8888000000000003E-2</v>
      </c>
      <c r="D97" s="8">
        <v>-2.0931000000000002E-2</v>
      </c>
      <c r="E97" s="8">
        <v>-2.0931999999999999E-2</v>
      </c>
      <c r="F97" s="8">
        <v>-5.8893000000000001E-2</v>
      </c>
      <c r="G97" s="8">
        <v>-19579.383000000002</v>
      </c>
      <c r="H97" s="8">
        <v>-43472.995999999999</v>
      </c>
    </row>
    <row r="98" spans="1:8" x14ac:dyDescent="0.15">
      <c r="A98" s="7" t="s">
        <v>376</v>
      </c>
      <c r="B98" s="8" t="s">
        <v>142</v>
      </c>
      <c r="C98" s="8">
        <v>5.8888999999999997E-2</v>
      </c>
      <c r="D98" s="8">
        <v>-2.0930000000000001E-2</v>
      </c>
      <c r="E98" s="8">
        <v>-2.0931999999999999E-2</v>
      </c>
      <c r="F98" s="8">
        <v>-5.8893000000000001E-2</v>
      </c>
      <c r="G98" s="8">
        <v>-28825.905999999999</v>
      </c>
      <c r="H98" s="8">
        <v>-40823.512999999999</v>
      </c>
    </row>
    <row r="99" spans="1:8" x14ac:dyDescent="0.15">
      <c r="A99" s="7" t="s">
        <v>377</v>
      </c>
      <c r="B99" s="8" t="s">
        <v>141</v>
      </c>
      <c r="C99" s="8">
        <v>5.8888999999999997E-2</v>
      </c>
      <c r="D99" s="8">
        <v>-2.0930000000000001E-2</v>
      </c>
      <c r="E99" s="8">
        <v>-2.0931999999999999E-2</v>
      </c>
      <c r="F99" s="8">
        <v>-5.8892E-2</v>
      </c>
      <c r="G99" s="8">
        <v>-28072.129000000001</v>
      </c>
      <c r="H99" s="8">
        <v>-41091.421000000002</v>
      </c>
    </row>
    <row r="100" spans="1:8" x14ac:dyDescent="0.15">
      <c r="A100" s="7" t="s">
        <v>378</v>
      </c>
      <c r="B100" s="8" t="s">
        <v>133</v>
      </c>
      <c r="C100" s="8">
        <v>5.8888999999999997E-2</v>
      </c>
      <c r="D100" s="8">
        <v>-2.0930000000000001E-2</v>
      </c>
      <c r="E100" s="8">
        <v>-2.0931999999999999E-2</v>
      </c>
      <c r="F100" s="8">
        <v>-5.8892E-2</v>
      </c>
      <c r="G100" s="8">
        <v>-27318.356</v>
      </c>
      <c r="H100" s="8">
        <v>-41359.328000000001</v>
      </c>
    </row>
    <row r="101" spans="1:8" x14ac:dyDescent="0.15">
      <c r="A101" s="7" t="s">
        <v>379</v>
      </c>
      <c r="B101" s="8" t="s">
        <v>136</v>
      </c>
      <c r="C101" s="8">
        <v>5.8889999999999998E-2</v>
      </c>
      <c r="D101" s="8">
        <v>-2.0930000000000001E-2</v>
      </c>
      <c r="E101" s="8">
        <v>-2.0931999999999999E-2</v>
      </c>
      <c r="F101" s="8">
        <v>-5.8892E-2</v>
      </c>
      <c r="G101" s="8">
        <v>-26564.580999999998</v>
      </c>
      <c r="H101" s="8">
        <v>-41627.235000000001</v>
      </c>
    </row>
    <row r="102" spans="1:8" x14ac:dyDescent="0.15">
      <c r="A102" s="7" t="s">
        <v>380</v>
      </c>
      <c r="B102" s="8" t="s">
        <v>137</v>
      </c>
      <c r="C102" s="8">
        <v>5.9792999999999999E-2</v>
      </c>
      <c r="D102" s="8">
        <v>-2.1250000000000002E-2</v>
      </c>
      <c r="E102" s="8">
        <v>-2.1253000000000001E-2</v>
      </c>
      <c r="F102" s="8">
        <v>-5.9795000000000001E-2</v>
      </c>
      <c r="G102" s="8">
        <v>-25810.794999999998</v>
      </c>
      <c r="H102" s="8">
        <v>-41895.139000000003</v>
      </c>
    </row>
    <row r="103" spans="1:8" x14ac:dyDescent="0.15">
      <c r="A103" s="7" t="s">
        <v>381</v>
      </c>
      <c r="B103" s="8" t="s">
        <v>138</v>
      </c>
      <c r="C103" s="8">
        <v>5.9798999999999998E-2</v>
      </c>
      <c r="D103" s="8">
        <v>-2.1250999999999999E-2</v>
      </c>
      <c r="E103" s="8">
        <v>-2.1256000000000001E-2</v>
      </c>
      <c r="F103" s="8">
        <v>-5.9803000000000002E-2</v>
      </c>
      <c r="G103" s="8">
        <v>-25056.99</v>
      </c>
      <c r="H103" s="8">
        <v>-42163.031999999999</v>
      </c>
    </row>
    <row r="104" spans="1:8" x14ac:dyDescent="0.15">
      <c r="A104" s="7" t="s">
        <v>382</v>
      </c>
      <c r="B104" s="8" t="s">
        <v>139</v>
      </c>
      <c r="C104" s="8">
        <v>5.8894000000000002E-2</v>
      </c>
      <c r="D104" s="8">
        <v>-2.0927999999999999E-2</v>
      </c>
      <c r="E104" s="8">
        <v>-2.0933E-2</v>
      </c>
      <c r="F104" s="8">
        <v>-5.8893000000000001E-2</v>
      </c>
      <c r="G104" s="8">
        <v>-24303.169000000002</v>
      </c>
      <c r="H104" s="8">
        <v>-42430.915999999997</v>
      </c>
    </row>
    <row r="105" spans="1:8" x14ac:dyDescent="0.15">
      <c r="A105" s="7" t="s">
        <v>383</v>
      </c>
      <c r="B105" s="8" t="s">
        <v>140</v>
      </c>
      <c r="C105" s="8">
        <v>5.8890999999999999E-2</v>
      </c>
      <c r="D105" s="8">
        <v>-2.0931000000000002E-2</v>
      </c>
      <c r="E105" s="8">
        <v>-2.0931999999999999E-2</v>
      </c>
      <c r="F105" s="8">
        <v>-5.8893000000000001E-2</v>
      </c>
      <c r="G105" s="8">
        <v>-23549.329000000002</v>
      </c>
      <c r="H105" s="8">
        <v>-42698.788</v>
      </c>
    </row>
    <row r="106" spans="1:8" x14ac:dyDescent="0.15">
      <c r="A106" s="7" t="s">
        <v>384</v>
      </c>
      <c r="B106" s="8" t="s">
        <v>135</v>
      </c>
      <c r="C106" s="8">
        <v>5.9769000000000003E-2</v>
      </c>
      <c r="D106" s="8">
        <v>-2.1243000000000001E-2</v>
      </c>
      <c r="E106" s="8">
        <v>-2.1287E-2</v>
      </c>
      <c r="F106" s="8">
        <v>-5.9891E-2</v>
      </c>
      <c r="G106" s="8">
        <v>-22795.524000000001</v>
      </c>
      <c r="H106" s="8">
        <v>-42966.703999999998</v>
      </c>
    </row>
    <row r="107" spans="1:8" x14ac:dyDescent="0.15">
      <c r="A107" s="7" t="s">
        <v>385</v>
      </c>
      <c r="B107" s="8" t="s">
        <v>134</v>
      </c>
      <c r="C107" s="8">
        <v>5.8892E-2</v>
      </c>
      <c r="D107" s="8">
        <v>-2.0931000000000002E-2</v>
      </c>
      <c r="E107" s="8">
        <v>-2.0933E-2</v>
      </c>
      <c r="F107" s="8">
        <v>-5.8894000000000002E-2</v>
      </c>
      <c r="G107" s="8">
        <v>-22041.716</v>
      </c>
      <c r="H107" s="8">
        <v>-43234.625</v>
      </c>
    </row>
    <row r="108" spans="1:8" x14ac:dyDescent="0.15">
      <c r="A108" s="7" t="s">
        <v>386</v>
      </c>
      <c r="B108" s="8" t="s">
        <v>132</v>
      </c>
      <c r="C108" s="8">
        <v>5.8892E-2</v>
      </c>
      <c r="D108" s="8">
        <v>-2.0930000000000001E-2</v>
      </c>
      <c r="E108" s="8">
        <v>-2.0934000000000001E-2</v>
      </c>
      <c r="F108" s="8">
        <v>-5.8894000000000002E-2</v>
      </c>
      <c r="G108" s="8">
        <v>-21287.903999999999</v>
      </c>
      <c r="H108" s="8">
        <v>-43502.542999999998</v>
      </c>
    </row>
    <row r="109" spans="1:8" x14ac:dyDescent="0.15">
      <c r="A109" s="7" t="s">
        <v>387</v>
      </c>
      <c r="B109" s="8" t="s">
        <v>131</v>
      </c>
      <c r="C109" s="8">
        <v>5.9832000000000003E-2</v>
      </c>
      <c r="D109" s="8">
        <v>-2.1267000000000001E-2</v>
      </c>
      <c r="E109" s="8">
        <v>-2.1269E-2</v>
      </c>
      <c r="F109" s="8">
        <v>-5.9834999999999999E-2</v>
      </c>
      <c r="G109" s="8">
        <v>-20534.088</v>
      </c>
      <c r="H109" s="8">
        <v>-43770.451999999997</v>
      </c>
    </row>
    <row r="110" spans="1:8" x14ac:dyDescent="0.15">
      <c r="A110" s="7" t="s">
        <v>388</v>
      </c>
      <c r="B110" s="8" t="s">
        <v>154</v>
      </c>
      <c r="C110" s="8">
        <v>5.8888999999999997E-2</v>
      </c>
      <c r="D110" s="8">
        <v>-2.0930000000000001E-2</v>
      </c>
      <c r="E110" s="8">
        <v>-2.0931999999999999E-2</v>
      </c>
      <c r="F110" s="8">
        <v>-5.8892E-2</v>
      </c>
      <c r="G110" s="8">
        <v>-29026.856</v>
      </c>
      <c r="H110" s="8">
        <v>-41388.881000000001</v>
      </c>
    </row>
    <row r="111" spans="1:8" x14ac:dyDescent="0.15">
      <c r="A111" s="7" t="s">
        <v>389</v>
      </c>
      <c r="B111" s="8" t="s">
        <v>153</v>
      </c>
      <c r="C111" s="8">
        <v>5.8888000000000003E-2</v>
      </c>
      <c r="D111" s="8">
        <v>-2.0930000000000001E-2</v>
      </c>
      <c r="E111" s="8">
        <v>-2.0931999999999999E-2</v>
      </c>
      <c r="F111" s="8">
        <v>-5.8892E-2</v>
      </c>
      <c r="G111" s="8">
        <v>-28273.079000000002</v>
      </c>
      <c r="H111" s="8">
        <v>-41656.784</v>
      </c>
    </row>
    <row r="112" spans="1:8" x14ac:dyDescent="0.15">
      <c r="A112" s="7" t="s">
        <v>390</v>
      </c>
      <c r="B112" s="8" t="s">
        <v>145</v>
      </c>
      <c r="C112" s="8">
        <v>5.8888999999999997E-2</v>
      </c>
      <c r="D112" s="8">
        <v>-2.0930000000000001E-2</v>
      </c>
      <c r="E112" s="8">
        <v>-2.0931999999999999E-2</v>
      </c>
      <c r="F112" s="8">
        <v>-5.8892E-2</v>
      </c>
      <c r="G112" s="8">
        <v>-27519.307000000001</v>
      </c>
      <c r="H112" s="8">
        <v>-41924.688000000002</v>
      </c>
    </row>
    <row r="113" spans="1:8" x14ac:dyDescent="0.15">
      <c r="A113" s="7" t="s">
        <v>391</v>
      </c>
      <c r="B113" s="8" t="s">
        <v>148</v>
      </c>
      <c r="C113" s="8">
        <v>5.8888999999999997E-2</v>
      </c>
      <c r="D113" s="8">
        <v>-2.0930000000000001E-2</v>
      </c>
      <c r="E113" s="8">
        <v>-2.0931999999999999E-2</v>
      </c>
      <c r="F113" s="8">
        <v>-5.8892E-2</v>
      </c>
      <c r="G113" s="8">
        <v>-26765.530999999999</v>
      </c>
      <c r="H113" s="8">
        <v>-42192.595999999998</v>
      </c>
    </row>
    <row r="114" spans="1:8" x14ac:dyDescent="0.15">
      <c r="A114" s="7" t="s">
        <v>392</v>
      </c>
      <c r="B114" s="8" t="s">
        <v>149</v>
      </c>
      <c r="C114" s="8">
        <v>5.8889999999999998E-2</v>
      </c>
      <c r="D114" s="8">
        <v>-2.0930000000000001E-2</v>
      </c>
      <c r="E114" s="8">
        <v>-2.0933E-2</v>
      </c>
      <c r="F114" s="8">
        <v>-5.8892E-2</v>
      </c>
      <c r="G114" s="8">
        <v>-26011.745999999999</v>
      </c>
      <c r="H114" s="8">
        <v>-42460.504000000001</v>
      </c>
    </row>
    <row r="115" spans="1:8" x14ac:dyDescent="0.15">
      <c r="A115" s="7" t="s">
        <v>393</v>
      </c>
      <c r="B115" s="8" t="s">
        <v>150</v>
      </c>
      <c r="C115" s="8">
        <v>5.9728000000000003E-2</v>
      </c>
      <c r="D115" s="8">
        <v>-2.1225000000000001E-2</v>
      </c>
      <c r="E115" s="8">
        <v>-2.1232000000000001E-2</v>
      </c>
      <c r="F115" s="8">
        <v>-5.9734000000000002E-2</v>
      </c>
      <c r="G115" s="8">
        <v>-25257.948</v>
      </c>
      <c r="H115" s="8">
        <v>-42728.406000000003</v>
      </c>
    </row>
    <row r="116" spans="1:8" x14ac:dyDescent="0.15">
      <c r="A116" s="7" t="s">
        <v>394</v>
      </c>
      <c r="B116" s="8" t="s">
        <v>151</v>
      </c>
      <c r="C116" s="8">
        <v>5.8894000000000002E-2</v>
      </c>
      <c r="D116" s="8">
        <v>-2.0927000000000001E-2</v>
      </c>
      <c r="E116" s="8">
        <v>-2.0933E-2</v>
      </c>
      <c r="F116" s="8">
        <v>-5.8894000000000002E-2</v>
      </c>
      <c r="G116" s="8">
        <v>-24504.125</v>
      </c>
      <c r="H116" s="8">
        <v>-42996.290999999997</v>
      </c>
    </row>
    <row r="117" spans="1:8" x14ac:dyDescent="0.15">
      <c r="A117" s="7" t="s">
        <v>395</v>
      </c>
      <c r="B117" s="8" t="s">
        <v>152</v>
      </c>
      <c r="C117" s="8">
        <v>5.8890999999999999E-2</v>
      </c>
      <c r="D117" s="8">
        <v>-2.0931000000000002E-2</v>
      </c>
      <c r="E117" s="8">
        <v>-2.0934999999999999E-2</v>
      </c>
      <c r="F117" s="8">
        <v>-5.8895999999999997E-2</v>
      </c>
      <c r="G117" s="8">
        <v>-23750.276000000002</v>
      </c>
      <c r="H117" s="8">
        <v>-43264.156000000003</v>
      </c>
    </row>
    <row r="118" spans="1:8" x14ac:dyDescent="0.15">
      <c r="A118" s="7" t="s">
        <v>396</v>
      </c>
      <c r="B118" s="8" t="s">
        <v>147</v>
      </c>
      <c r="C118" s="8">
        <v>5.8889999999999998E-2</v>
      </c>
      <c r="D118" s="8">
        <v>-2.0931999999999999E-2</v>
      </c>
      <c r="E118" s="8">
        <v>-2.0934000000000001E-2</v>
      </c>
      <c r="F118" s="8">
        <v>-5.8894000000000002E-2</v>
      </c>
      <c r="G118" s="8">
        <v>-22996.473999999998</v>
      </c>
      <c r="H118" s="8">
        <v>-43532.074999999997</v>
      </c>
    </row>
    <row r="119" spans="1:8" x14ac:dyDescent="0.15">
      <c r="A119" s="7" t="s">
        <v>397</v>
      </c>
      <c r="B119" s="8" t="s">
        <v>146</v>
      </c>
      <c r="C119" s="8">
        <v>5.8890999999999999E-2</v>
      </c>
      <c r="D119" s="8">
        <v>-2.0931000000000002E-2</v>
      </c>
      <c r="E119" s="8">
        <v>-2.0934000000000001E-2</v>
      </c>
      <c r="F119" s="8">
        <v>-5.8894000000000002E-2</v>
      </c>
      <c r="G119" s="8">
        <v>-22242.677</v>
      </c>
      <c r="H119" s="8">
        <v>-43800.004000000001</v>
      </c>
    </row>
    <row r="120" spans="1:8" x14ac:dyDescent="0.15">
      <c r="A120" s="7" t="s">
        <v>398</v>
      </c>
      <c r="B120" s="8" t="s">
        <v>144</v>
      </c>
      <c r="C120" s="8">
        <v>5.8890999999999999E-2</v>
      </c>
      <c r="D120" s="8">
        <v>-2.0931000000000002E-2</v>
      </c>
      <c r="E120" s="8">
        <v>-2.0934000000000001E-2</v>
      </c>
      <c r="F120" s="8">
        <v>-5.8894000000000002E-2</v>
      </c>
      <c r="G120" s="8">
        <v>-21488.867999999999</v>
      </c>
      <c r="H120" s="8">
        <v>-44067.923000000003</v>
      </c>
    </row>
    <row r="121" spans="1:8" x14ac:dyDescent="0.15">
      <c r="A121" s="7" t="s">
        <v>399</v>
      </c>
      <c r="B121" s="8" t="s">
        <v>143</v>
      </c>
      <c r="C121" s="8">
        <v>5.8888999999999997E-2</v>
      </c>
      <c r="D121" s="8">
        <v>-2.0931000000000002E-2</v>
      </c>
      <c r="E121" s="8">
        <v>-2.0934999999999999E-2</v>
      </c>
      <c r="F121" s="8">
        <v>-5.8894000000000002E-2</v>
      </c>
      <c r="G121" s="8">
        <v>-20735.062999999998</v>
      </c>
      <c r="H121" s="8">
        <v>-44335.834000000003</v>
      </c>
    </row>
    <row r="122" spans="1:8" x14ac:dyDescent="0.15">
      <c r="A122" s="7" t="s">
        <v>400</v>
      </c>
      <c r="B122" s="8" t="s">
        <v>155</v>
      </c>
      <c r="C122" s="8">
        <v>5.8888999999999997E-2</v>
      </c>
      <c r="D122" s="8">
        <v>-2.0930000000000001E-2</v>
      </c>
      <c r="E122" s="8">
        <v>-2.0931999999999999E-2</v>
      </c>
      <c r="F122" s="8">
        <v>-5.8892E-2</v>
      </c>
      <c r="G122" s="8">
        <v>-29227.807000000001</v>
      </c>
      <c r="H122" s="8">
        <v>-41954.243000000002</v>
      </c>
    </row>
    <row r="123" spans="1:8" x14ac:dyDescent="0.15">
      <c r="A123" s="7" t="s">
        <v>401</v>
      </c>
      <c r="B123" s="8" t="s">
        <v>166</v>
      </c>
      <c r="C123" s="8">
        <v>5.8888000000000003E-2</v>
      </c>
      <c r="D123" s="8">
        <v>-2.0930000000000001E-2</v>
      </c>
      <c r="E123" s="8">
        <v>-2.0931999999999999E-2</v>
      </c>
      <c r="F123" s="8">
        <v>-5.8892E-2</v>
      </c>
      <c r="G123" s="8">
        <v>-28474.027999999998</v>
      </c>
      <c r="H123" s="8">
        <v>-42222.146000000001</v>
      </c>
    </row>
    <row r="124" spans="1:8" x14ac:dyDescent="0.15">
      <c r="A124" s="7" t="s">
        <v>402</v>
      </c>
      <c r="B124" s="8" t="s">
        <v>158</v>
      </c>
      <c r="C124" s="8">
        <v>5.8888999999999997E-2</v>
      </c>
      <c r="D124" s="8">
        <v>-2.0930000000000001E-2</v>
      </c>
      <c r="E124" s="8">
        <v>-2.0931999999999999E-2</v>
      </c>
      <c r="F124" s="8">
        <v>-5.8890999999999999E-2</v>
      </c>
      <c r="G124" s="8">
        <v>-27720.256000000001</v>
      </c>
      <c r="H124" s="8">
        <v>-42490.048000000003</v>
      </c>
    </row>
    <row r="125" spans="1:8" x14ac:dyDescent="0.15">
      <c r="A125" s="7" t="s">
        <v>403</v>
      </c>
      <c r="B125" s="8" t="s">
        <v>161</v>
      </c>
      <c r="C125" s="8">
        <v>5.8888999999999997E-2</v>
      </c>
      <c r="D125" s="8">
        <v>-2.0931000000000002E-2</v>
      </c>
      <c r="E125" s="8">
        <v>-2.0931999999999999E-2</v>
      </c>
      <c r="F125" s="8">
        <v>-5.8890999999999999E-2</v>
      </c>
      <c r="G125" s="8">
        <v>-26966.48</v>
      </c>
      <c r="H125" s="8">
        <v>-42757.955000000002</v>
      </c>
    </row>
    <row r="126" spans="1:8" x14ac:dyDescent="0.15">
      <c r="A126" s="7" t="s">
        <v>404</v>
      </c>
      <c r="B126" s="8" t="s">
        <v>162</v>
      </c>
      <c r="C126" s="8">
        <v>5.8889999999999998E-2</v>
      </c>
      <c r="D126" s="8">
        <v>-2.0931000000000002E-2</v>
      </c>
      <c r="E126" s="8">
        <v>-2.0931999999999999E-2</v>
      </c>
      <c r="F126" s="8">
        <v>-5.8890999999999999E-2</v>
      </c>
      <c r="G126" s="8">
        <v>-26212.699000000001</v>
      </c>
      <c r="H126" s="8">
        <v>-43025.868000000002</v>
      </c>
    </row>
    <row r="127" spans="1:8" x14ac:dyDescent="0.15">
      <c r="A127" s="7" t="s">
        <v>405</v>
      </c>
      <c r="B127" s="8" t="s">
        <v>163</v>
      </c>
      <c r="C127" s="8">
        <v>5.8893000000000001E-2</v>
      </c>
      <c r="D127" s="8">
        <v>-2.0929E-2</v>
      </c>
      <c r="E127" s="8">
        <v>-2.0934000000000001E-2</v>
      </c>
      <c r="F127" s="8">
        <v>-5.8894000000000002E-2</v>
      </c>
      <c r="G127" s="8">
        <v>-25458.912</v>
      </c>
      <c r="H127" s="8">
        <v>-43293.785000000003</v>
      </c>
    </row>
    <row r="128" spans="1:8" x14ac:dyDescent="0.15">
      <c r="A128" s="7" t="s">
        <v>406</v>
      </c>
      <c r="B128" s="8" t="s">
        <v>164</v>
      </c>
      <c r="C128" s="8">
        <v>5.8893000000000001E-2</v>
      </c>
      <c r="D128" s="8">
        <v>-2.0927999999999999E-2</v>
      </c>
      <c r="E128" s="8">
        <v>-2.0934000000000001E-2</v>
      </c>
      <c r="F128" s="8">
        <v>-5.8894000000000002E-2</v>
      </c>
      <c r="G128" s="8">
        <v>-24705.084999999999</v>
      </c>
      <c r="H128" s="8">
        <v>-43561.671000000002</v>
      </c>
    </row>
    <row r="129" spans="1:8" x14ac:dyDescent="0.15">
      <c r="A129" s="7" t="s">
        <v>407</v>
      </c>
      <c r="B129" s="8" t="s">
        <v>165</v>
      </c>
      <c r="C129" s="8">
        <v>5.8892E-2</v>
      </c>
      <c r="D129" s="8">
        <v>-2.0930000000000001E-2</v>
      </c>
      <c r="E129" s="8">
        <v>-2.0934000000000001E-2</v>
      </c>
      <c r="F129" s="8">
        <v>-5.8895000000000003E-2</v>
      </c>
      <c r="G129" s="8">
        <v>-23951.251</v>
      </c>
      <c r="H129" s="8">
        <v>-43829.553</v>
      </c>
    </row>
    <row r="130" spans="1:8" x14ac:dyDescent="0.15">
      <c r="A130" s="7" t="s">
        <v>408</v>
      </c>
      <c r="B130" s="8" t="s">
        <v>160</v>
      </c>
      <c r="C130" s="8">
        <v>5.8889999999999998E-2</v>
      </c>
      <c r="D130" s="8">
        <v>-2.0931999999999999E-2</v>
      </c>
      <c r="E130" s="8">
        <v>-2.0934000000000001E-2</v>
      </c>
      <c r="F130" s="8">
        <v>-5.8894000000000002E-2</v>
      </c>
      <c r="G130" s="8">
        <v>-23197.437999999998</v>
      </c>
      <c r="H130" s="8">
        <v>-44097.46</v>
      </c>
    </row>
    <row r="131" spans="1:8" x14ac:dyDescent="0.15">
      <c r="A131" s="7" t="s">
        <v>409</v>
      </c>
      <c r="B131" s="8" t="s">
        <v>159</v>
      </c>
      <c r="C131" s="8">
        <v>5.8890999999999999E-2</v>
      </c>
      <c r="D131" s="8">
        <v>-2.0931000000000002E-2</v>
      </c>
      <c r="E131" s="8">
        <v>-2.0934000000000001E-2</v>
      </c>
      <c r="F131" s="8">
        <v>-5.8895000000000003E-2</v>
      </c>
      <c r="G131" s="8">
        <v>-22443.644</v>
      </c>
      <c r="H131" s="8">
        <v>-44365.387000000002</v>
      </c>
    </row>
    <row r="132" spans="1:8" x14ac:dyDescent="0.15">
      <c r="A132" s="7" t="s">
        <v>410</v>
      </c>
      <c r="B132" s="8" t="s">
        <v>157</v>
      </c>
      <c r="C132" s="8">
        <v>5.8890999999999999E-2</v>
      </c>
      <c r="D132" s="8">
        <v>-2.0931000000000002E-2</v>
      </c>
      <c r="E132" s="8">
        <v>-2.0934999999999999E-2</v>
      </c>
      <c r="F132" s="8">
        <v>-5.8894000000000002E-2</v>
      </c>
      <c r="G132" s="8">
        <v>-21689.839</v>
      </c>
      <c r="H132" s="8">
        <v>-44633.305999999997</v>
      </c>
    </row>
    <row r="133" spans="1:8" x14ac:dyDescent="0.15">
      <c r="A133" s="7" t="s">
        <v>411</v>
      </c>
      <c r="B133" s="8" t="s">
        <v>156</v>
      </c>
      <c r="C133" s="8">
        <v>5.8889999999999998E-2</v>
      </c>
      <c r="D133" s="8">
        <v>-2.0931000000000002E-2</v>
      </c>
      <c r="E133" s="8">
        <v>-2.0934000000000001E-2</v>
      </c>
      <c r="F133" s="8">
        <v>-5.8894000000000002E-2</v>
      </c>
      <c r="G133" s="8">
        <v>-20936.036</v>
      </c>
      <c r="H133" s="8">
        <v>-44901.216999999997</v>
      </c>
    </row>
    <row r="134" spans="1:8" x14ac:dyDescent="0.15">
      <c r="A134" s="7" t="s">
        <v>412</v>
      </c>
      <c r="B134" s="8" t="s">
        <v>168</v>
      </c>
      <c r="C134" s="8">
        <v>5.9753000000000001E-2</v>
      </c>
      <c r="D134" s="8">
        <v>-2.1236999999999999E-2</v>
      </c>
      <c r="E134" s="8">
        <v>-2.1287E-2</v>
      </c>
      <c r="F134" s="8">
        <v>-5.9889999999999999E-2</v>
      </c>
      <c r="G134" s="8">
        <v>-29428.756000000001</v>
      </c>
      <c r="H134" s="8">
        <v>-42519.603000000003</v>
      </c>
    </row>
    <row r="135" spans="1:8" x14ac:dyDescent="0.15">
      <c r="A135" s="7" t="s">
        <v>413</v>
      </c>
      <c r="B135" s="8" t="s">
        <v>167</v>
      </c>
      <c r="C135" s="8">
        <v>7.9772999999999997E-2</v>
      </c>
      <c r="D135" s="8">
        <v>-2.8351999999999999E-2</v>
      </c>
      <c r="E135" s="8">
        <v>-2.8355000000000002E-2</v>
      </c>
      <c r="F135" s="8">
        <v>-7.9773999999999998E-2</v>
      </c>
      <c r="G135" s="8">
        <v>-28674.977999999999</v>
      </c>
      <c r="H135" s="8">
        <v>-42787.504999999997</v>
      </c>
    </row>
    <row r="136" spans="1:8" x14ac:dyDescent="0.15">
      <c r="A136" s="7" t="s">
        <v>414</v>
      </c>
      <c r="B136" s="8" t="s">
        <v>171</v>
      </c>
      <c r="C136" s="8">
        <v>5.8888999999999997E-2</v>
      </c>
      <c r="D136" s="8">
        <v>-2.0930000000000001E-2</v>
      </c>
      <c r="E136" s="8">
        <v>-2.0931999999999999E-2</v>
      </c>
      <c r="F136" s="8">
        <v>-5.8892E-2</v>
      </c>
      <c r="G136" s="8">
        <v>-27921.205000000002</v>
      </c>
      <c r="H136" s="8">
        <v>-43055.406000000003</v>
      </c>
    </row>
    <row r="137" spans="1:8" x14ac:dyDescent="0.15">
      <c r="A137" s="7" t="s">
        <v>415</v>
      </c>
      <c r="B137" s="8" t="s">
        <v>174</v>
      </c>
      <c r="C137" s="8">
        <v>5.8888999999999997E-2</v>
      </c>
      <c r="D137" s="8">
        <v>-2.0931000000000002E-2</v>
      </c>
      <c r="E137" s="8">
        <v>-2.0931000000000002E-2</v>
      </c>
      <c r="F137" s="8">
        <v>-5.8890999999999999E-2</v>
      </c>
      <c r="G137" s="8">
        <v>-27167.428</v>
      </c>
      <c r="H137" s="8">
        <v>-43323.311999999998</v>
      </c>
    </row>
    <row r="138" spans="1:8" x14ac:dyDescent="0.15">
      <c r="A138" s="7" t="s">
        <v>416</v>
      </c>
      <c r="B138" s="8" t="s">
        <v>175</v>
      </c>
      <c r="C138" s="8">
        <v>5.8888000000000003E-2</v>
      </c>
      <c r="D138" s="8">
        <v>-2.0933E-2</v>
      </c>
      <c r="E138" s="8">
        <v>-2.0931000000000002E-2</v>
      </c>
      <c r="F138" s="8">
        <v>-5.8890999999999999E-2</v>
      </c>
      <c r="G138" s="8">
        <v>-26413.645</v>
      </c>
      <c r="H138" s="8">
        <v>-43591.224999999999</v>
      </c>
    </row>
    <row r="139" spans="1:8" x14ac:dyDescent="0.15">
      <c r="A139" s="7" t="s">
        <v>417</v>
      </c>
      <c r="B139" s="8" t="s">
        <v>176</v>
      </c>
      <c r="C139" s="8">
        <v>7.9778000000000002E-2</v>
      </c>
      <c r="D139" s="8">
        <v>-2.8351000000000001E-2</v>
      </c>
      <c r="E139" s="8">
        <v>-2.8351999999999999E-2</v>
      </c>
      <c r="F139" s="8">
        <v>-7.9772999999999997E-2</v>
      </c>
      <c r="G139" s="8">
        <v>-25659.874</v>
      </c>
      <c r="H139" s="8">
        <v>-43859.163</v>
      </c>
    </row>
    <row r="140" spans="1:8" x14ac:dyDescent="0.15">
      <c r="A140" s="7" t="s">
        <v>418</v>
      </c>
      <c r="B140" s="8" t="s">
        <v>177</v>
      </c>
      <c r="C140" s="8">
        <v>5.8893000000000001E-2</v>
      </c>
      <c r="D140" s="8">
        <v>-2.0929E-2</v>
      </c>
      <c r="E140" s="8">
        <v>-2.0931999999999999E-2</v>
      </c>
      <c r="F140" s="8">
        <v>-5.8892E-2</v>
      </c>
      <c r="G140" s="8">
        <v>-24906.050999999999</v>
      </c>
      <c r="H140" s="8">
        <v>-44127.055</v>
      </c>
    </row>
    <row r="141" spans="1:8" x14ac:dyDescent="0.15">
      <c r="A141" s="7" t="s">
        <v>419</v>
      </c>
      <c r="B141" s="8" t="s">
        <v>178</v>
      </c>
      <c r="C141" s="8">
        <v>5.8892E-2</v>
      </c>
      <c r="D141" s="8">
        <v>-2.0930000000000001E-2</v>
      </c>
      <c r="E141" s="8">
        <v>-2.0933E-2</v>
      </c>
      <c r="F141" s="8">
        <v>-5.8894000000000002E-2</v>
      </c>
      <c r="G141" s="8">
        <v>-24152.217000000001</v>
      </c>
      <c r="H141" s="8">
        <v>-44394.940999999999</v>
      </c>
    </row>
    <row r="142" spans="1:8" x14ac:dyDescent="0.15">
      <c r="A142" s="7" t="s">
        <v>420</v>
      </c>
      <c r="B142" s="8" t="s">
        <v>173</v>
      </c>
      <c r="C142" s="8">
        <v>5.8889999999999998E-2</v>
      </c>
      <c r="D142" s="8">
        <v>-2.0931999999999999E-2</v>
      </c>
      <c r="E142" s="8">
        <v>-2.0934000000000001E-2</v>
      </c>
      <c r="F142" s="8">
        <v>-5.8894000000000002E-2</v>
      </c>
      <c r="G142" s="8">
        <v>-23398.402999999998</v>
      </c>
      <c r="H142" s="8">
        <v>-44662.845999999998</v>
      </c>
    </row>
    <row r="143" spans="1:8" x14ac:dyDescent="0.15">
      <c r="A143" s="7" t="s">
        <v>421</v>
      </c>
      <c r="B143" s="8" t="s">
        <v>172</v>
      </c>
      <c r="C143" s="8">
        <v>5.8890999999999999E-2</v>
      </c>
      <c r="D143" s="8">
        <v>-2.0931000000000002E-2</v>
      </c>
      <c r="E143" s="8">
        <v>-2.0934000000000001E-2</v>
      </c>
      <c r="F143" s="8">
        <v>-5.8894000000000002E-2</v>
      </c>
      <c r="G143" s="8">
        <v>-22644.614000000001</v>
      </c>
      <c r="H143" s="8">
        <v>-44930.775000000001</v>
      </c>
    </row>
    <row r="144" spans="1:8" x14ac:dyDescent="0.15">
      <c r="A144" s="7" t="s">
        <v>422</v>
      </c>
      <c r="B144" s="8" t="s">
        <v>170</v>
      </c>
      <c r="C144" s="8">
        <v>5.8890999999999999E-2</v>
      </c>
      <c r="D144" s="8">
        <v>-2.0930000000000001E-2</v>
      </c>
      <c r="E144" s="8">
        <v>-2.0934999999999999E-2</v>
      </c>
      <c r="F144" s="8">
        <v>-5.8895000000000003E-2</v>
      </c>
      <c r="G144" s="8">
        <v>-21890.812000000002</v>
      </c>
      <c r="H144" s="8">
        <v>-45198.692000000003</v>
      </c>
    </row>
    <row r="145" spans="1:8" x14ac:dyDescent="0.15">
      <c r="A145" s="7" t="s">
        <v>423</v>
      </c>
      <c r="B145" s="8" t="s">
        <v>169</v>
      </c>
      <c r="C145" s="8">
        <v>5.8890999999999999E-2</v>
      </c>
      <c r="D145" s="8">
        <v>-2.0931000000000002E-2</v>
      </c>
      <c r="E145" s="8">
        <v>-2.0934000000000001E-2</v>
      </c>
      <c r="F145" s="8">
        <v>-5.8894000000000002E-2</v>
      </c>
      <c r="G145" s="8">
        <v>-21137.005000000001</v>
      </c>
      <c r="H145" s="8">
        <v>-45466.601000000002</v>
      </c>
    </row>
    <row r="146" spans="1:8" x14ac:dyDescent="0.15">
      <c r="A146" s="7" t="s">
        <v>424</v>
      </c>
      <c r="B146" s="8" t="s">
        <v>214</v>
      </c>
      <c r="C146" s="8">
        <v>5.8889999999999998E-2</v>
      </c>
      <c r="D146" s="8">
        <v>-2.0931000000000002E-2</v>
      </c>
      <c r="E146" s="8">
        <v>-2.0934000000000001E-2</v>
      </c>
      <c r="F146" s="8">
        <v>-5.8894000000000002E-2</v>
      </c>
      <c r="G146" s="8">
        <v>-20383.204000000002</v>
      </c>
      <c r="H146" s="8">
        <v>-45734.512000000002</v>
      </c>
    </row>
    <row r="147" spans="1:8" x14ac:dyDescent="0.15">
      <c r="A147" s="7" t="s">
        <v>425</v>
      </c>
      <c r="B147" s="8" t="s">
        <v>181</v>
      </c>
      <c r="C147" s="8">
        <v>5.9832999999999997E-2</v>
      </c>
      <c r="D147" s="8">
        <v>-2.1264999999999999E-2</v>
      </c>
      <c r="E147" s="8">
        <v>-2.1269E-2</v>
      </c>
      <c r="F147" s="8">
        <v>-5.9839000000000003E-2</v>
      </c>
      <c r="G147" s="8">
        <v>-29629.705999999998</v>
      </c>
      <c r="H147" s="8">
        <v>-43084.963000000003</v>
      </c>
    </row>
    <row r="148" spans="1:8" x14ac:dyDescent="0.15">
      <c r="A148" s="7" t="s">
        <v>426</v>
      </c>
      <c r="B148" s="8" t="s">
        <v>180</v>
      </c>
      <c r="C148" s="8">
        <v>7.979E-2</v>
      </c>
      <c r="D148" s="8">
        <v>-2.8358000000000001E-2</v>
      </c>
      <c r="E148" s="8">
        <v>-2.8382000000000001E-2</v>
      </c>
      <c r="F148" s="8">
        <v>-7.9852999999999993E-2</v>
      </c>
      <c r="G148" s="8">
        <v>-28875.927</v>
      </c>
      <c r="H148" s="8">
        <v>-43352.864000000001</v>
      </c>
    </row>
    <row r="149" spans="1:8" x14ac:dyDescent="0.15">
      <c r="A149" s="7" t="s">
        <v>427</v>
      </c>
      <c r="B149" s="8" t="s">
        <v>184</v>
      </c>
      <c r="C149" s="8">
        <v>5.9832999999999997E-2</v>
      </c>
      <c r="D149" s="8">
        <v>-2.1264999999999999E-2</v>
      </c>
      <c r="E149" s="8">
        <v>-2.1269E-2</v>
      </c>
      <c r="F149" s="8">
        <v>-5.9839000000000003E-2</v>
      </c>
      <c r="G149" s="8">
        <v>-28122.15</v>
      </c>
      <c r="H149" s="8">
        <v>-43620.764999999999</v>
      </c>
    </row>
    <row r="150" spans="1:8" x14ac:dyDescent="0.15">
      <c r="A150" s="7" t="s">
        <v>428</v>
      </c>
      <c r="B150" s="8" t="s">
        <v>187</v>
      </c>
      <c r="C150" s="8">
        <v>5.9720000000000002E-2</v>
      </c>
      <c r="D150" s="8">
        <v>-2.1225999999999998E-2</v>
      </c>
      <c r="E150" s="8">
        <v>-2.1228E-2</v>
      </c>
      <c r="F150" s="8">
        <v>-5.9725E-2</v>
      </c>
      <c r="G150" s="8">
        <v>-27368.37</v>
      </c>
      <c r="H150" s="8">
        <v>-43888.665999999997</v>
      </c>
    </row>
    <row r="151" spans="1:8" x14ac:dyDescent="0.15">
      <c r="A151" s="7" t="s">
        <v>429</v>
      </c>
      <c r="B151" s="8" t="s">
        <v>188</v>
      </c>
      <c r="C151" s="8">
        <v>5.8888999999999997E-2</v>
      </c>
      <c r="D151" s="8">
        <v>-2.0933E-2</v>
      </c>
      <c r="E151" s="8">
        <v>-2.0930000000000001E-2</v>
      </c>
      <c r="F151" s="8">
        <v>-5.8889999999999998E-2</v>
      </c>
      <c r="G151" s="8">
        <v>-26614.584999999999</v>
      </c>
      <c r="H151" s="8">
        <v>-44156.574999999997</v>
      </c>
    </row>
    <row r="152" spans="1:8" x14ac:dyDescent="0.15">
      <c r="A152" s="7" t="s">
        <v>430</v>
      </c>
      <c r="B152" s="8" t="s">
        <v>189</v>
      </c>
      <c r="C152" s="8">
        <v>5.8892E-2</v>
      </c>
      <c r="D152" s="8">
        <v>-2.0930000000000001E-2</v>
      </c>
      <c r="E152" s="8">
        <v>-2.0929E-2</v>
      </c>
      <c r="F152" s="8">
        <v>-5.8888999999999997E-2</v>
      </c>
      <c r="G152" s="8">
        <v>-25860.808000000001</v>
      </c>
      <c r="H152" s="8">
        <v>-44424.512000000002</v>
      </c>
    </row>
    <row r="153" spans="1:8" x14ac:dyDescent="0.15">
      <c r="A153" s="7" t="s">
        <v>431</v>
      </c>
      <c r="B153" s="8" t="s">
        <v>190</v>
      </c>
      <c r="C153" s="8">
        <v>5.8892E-2</v>
      </c>
      <c r="D153" s="8">
        <v>-2.0930000000000001E-2</v>
      </c>
      <c r="E153" s="8">
        <v>-2.0931000000000002E-2</v>
      </c>
      <c r="F153" s="8">
        <v>-5.8892E-2</v>
      </c>
      <c r="G153" s="8">
        <v>-25106.995999999999</v>
      </c>
      <c r="H153" s="8">
        <v>-44692.421000000002</v>
      </c>
    </row>
    <row r="154" spans="1:8" x14ac:dyDescent="0.15">
      <c r="A154" s="7" t="s">
        <v>432</v>
      </c>
      <c r="B154" s="8" t="s">
        <v>179</v>
      </c>
      <c r="C154" s="8">
        <v>5.8890999999999999E-2</v>
      </c>
      <c r="D154" s="8">
        <v>-2.0930000000000001E-2</v>
      </c>
      <c r="E154" s="8">
        <v>-2.0931999999999999E-2</v>
      </c>
      <c r="F154" s="8">
        <v>-5.8893000000000001E-2</v>
      </c>
      <c r="G154" s="8">
        <v>-24353.172999999999</v>
      </c>
      <c r="H154" s="8">
        <v>-44960.321000000004</v>
      </c>
    </row>
    <row r="155" spans="1:8" x14ac:dyDescent="0.15">
      <c r="A155" s="7" t="s">
        <v>433</v>
      </c>
      <c r="B155" s="8" t="s">
        <v>186</v>
      </c>
      <c r="C155" s="8">
        <v>5.8888999999999997E-2</v>
      </c>
      <c r="D155" s="8">
        <v>-2.0931999999999999E-2</v>
      </c>
      <c r="E155" s="8">
        <v>-2.0933E-2</v>
      </c>
      <c r="F155" s="8">
        <v>-5.8894000000000002E-2</v>
      </c>
      <c r="G155" s="8">
        <v>-23599.365000000002</v>
      </c>
      <c r="H155" s="8">
        <v>-45228.23</v>
      </c>
    </row>
    <row r="156" spans="1:8" x14ac:dyDescent="0.15">
      <c r="A156" s="7" t="s">
        <v>434</v>
      </c>
      <c r="B156" s="8" t="s">
        <v>185</v>
      </c>
      <c r="C156" s="8">
        <v>5.8889999999999998E-2</v>
      </c>
      <c r="D156" s="8">
        <v>-2.0931000000000002E-2</v>
      </c>
      <c r="E156" s="8">
        <v>-2.0933E-2</v>
      </c>
      <c r="F156" s="8">
        <v>-5.8894000000000002E-2</v>
      </c>
      <c r="G156" s="8">
        <v>-22845.580999999998</v>
      </c>
      <c r="H156" s="8">
        <v>-45496.161</v>
      </c>
    </row>
    <row r="157" spans="1:8" x14ac:dyDescent="0.15">
      <c r="A157" s="7" t="s">
        <v>435</v>
      </c>
      <c r="B157" s="8" t="s">
        <v>183</v>
      </c>
      <c r="C157" s="8">
        <v>5.8892E-2</v>
      </c>
      <c r="D157" s="8">
        <v>-2.0930000000000001E-2</v>
      </c>
      <c r="E157" s="8">
        <v>-2.0933E-2</v>
      </c>
      <c r="F157" s="8">
        <v>-5.8894000000000002E-2</v>
      </c>
      <c r="G157" s="8">
        <v>-22091.787</v>
      </c>
      <c r="H157" s="8">
        <v>-45764.080999999998</v>
      </c>
    </row>
    <row r="158" spans="1:8" x14ac:dyDescent="0.15">
      <c r="A158" s="7" t="s">
        <v>436</v>
      </c>
      <c r="B158" s="8" t="s">
        <v>182</v>
      </c>
      <c r="C158" s="8">
        <v>5.8890999999999999E-2</v>
      </c>
      <c r="D158" s="8">
        <v>-2.0930000000000001E-2</v>
      </c>
      <c r="E158" s="8">
        <v>-2.0933E-2</v>
      </c>
      <c r="F158" s="8">
        <v>-5.8893000000000001E-2</v>
      </c>
      <c r="G158" s="8">
        <v>-21337.973000000002</v>
      </c>
      <c r="H158" s="8">
        <v>-46031.985000000001</v>
      </c>
    </row>
    <row r="159" spans="1:8" x14ac:dyDescent="0.15">
      <c r="A159" s="7" t="s">
        <v>437</v>
      </c>
      <c r="B159" s="8" t="s">
        <v>194</v>
      </c>
      <c r="C159" s="8">
        <v>5.9832999999999997E-2</v>
      </c>
      <c r="D159" s="8">
        <v>-2.1264999999999999E-2</v>
      </c>
      <c r="E159" s="8">
        <v>-2.1269E-2</v>
      </c>
      <c r="F159" s="8">
        <v>-5.9839000000000003E-2</v>
      </c>
      <c r="G159" s="8">
        <v>-29830.653999999999</v>
      </c>
      <c r="H159" s="8">
        <v>-43650.321000000004</v>
      </c>
    </row>
    <row r="160" spans="1:8" x14ac:dyDescent="0.15">
      <c r="A160" s="7" t="s">
        <v>438</v>
      </c>
      <c r="B160" s="8" t="s">
        <v>193</v>
      </c>
      <c r="C160" s="8">
        <v>5.8888999999999997E-2</v>
      </c>
      <c r="D160" s="8">
        <v>-2.0930000000000001E-2</v>
      </c>
      <c r="E160" s="8">
        <v>-2.0931999999999999E-2</v>
      </c>
      <c r="F160" s="8">
        <v>-5.8890999999999999E-2</v>
      </c>
      <c r="G160" s="8">
        <v>-29076.874</v>
      </c>
      <c r="H160" s="8">
        <v>-43918.222999999998</v>
      </c>
    </row>
    <row r="161" spans="1:8" x14ac:dyDescent="0.15">
      <c r="A161" s="7" t="s">
        <v>439</v>
      </c>
      <c r="B161" s="8" t="s">
        <v>197</v>
      </c>
      <c r="C161" s="8">
        <v>5.8888999999999997E-2</v>
      </c>
      <c r="D161" s="8">
        <v>-2.0930000000000001E-2</v>
      </c>
      <c r="E161" s="8">
        <v>-2.0931999999999999E-2</v>
      </c>
      <c r="F161" s="8">
        <v>-5.8892E-2</v>
      </c>
      <c r="G161" s="8">
        <v>-28323.095000000001</v>
      </c>
      <c r="H161" s="8">
        <v>-44186.123</v>
      </c>
    </row>
    <row r="162" spans="1:8" x14ac:dyDescent="0.15">
      <c r="A162" s="7" t="s">
        <v>440</v>
      </c>
      <c r="B162" s="8" t="s">
        <v>200</v>
      </c>
      <c r="C162" s="8">
        <v>5.9721000000000003E-2</v>
      </c>
      <c r="D162" s="8">
        <v>-2.1225000000000001E-2</v>
      </c>
      <c r="E162" s="8">
        <v>-2.1225999999999998E-2</v>
      </c>
      <c r="F162" s="8">
        <v>-5.9719000000000001E-2</v>
      </c>
      <c r="G162" s="8">
        <v>-27569.311000000002</v>
      </c>
      <c r="H162" s="8">
        <v>-44454.023000000001</v>
      </c>
    </row>
    <row r="163" spans="1:8" x14ac:dyDescent="0.15">
      <c r="A163" s="7" t="s">
        <v>441</v>
      </c>
      <c r="B163" s="8" t="s">
        <v>201</v>
      </c>
      <c r="C163" s="8">
        <v>5.9833999999999998E-2</v>
      </c>
      <c r="D163" s="8">
        <v>-2.1267000000000001E-2</v>
      </c>
      <c r="E163" s="8">
        <v>-2.1266E-2</v>
      </c>
      <c r="F163" s="8">
        <v>-5.9832999999999997E-2</v>
      </c>
      <c r="G163" s="8">
        <v>-26815.517</v>
      </c>
      <c r="H163" s="8">
        <v>-44721.921000000002</v>
      </c>
    </row>
    <row r="164" spans="1:8" x14ac:dyDescent="0.15">
      <c r="A164" s="7" t="s">
        <v>442</v>
      </c>
      <c r="B164" s="8" t="s">
        <v>202</v>
      </c>
      <c r="C164" s="8">
        <v>5.8889999999999998E-2</v>
      </c>
      <c r="D164" s="8">
        <v>-2.0931999999999999E-2</v>
      </c>
      <c r="E164" s="8">
        <v>-2.0931000000000002E-2</v>
      </c>
      <c r="F164" s="8">
        <v>-5.8892E-2</v>
      </c>
      <c r="G164" s="8">
        <v>-26061.728999999999</v>
      </c>
      <c r="H164" s="8">
        <v>-44989.845000000001</v>
      </c>
    </row>
    <row r="165" spans="1:8" x14ac:dyDescent="0.15">
      <c r="A165" s="7" t="s">
        <v>443</v>
      </c>
      <c r="B165" s="8" t="s">
        <v>191</v>
      </c>
      <c r="C165" s="8">
        <v>5.9783999999999997E-2</v>
      </c>
      <c r="D165" s="8">
        <v>-2.1248E-2</v>
      </c>
      <c r="E165" s="8">
        <v>-2.1295000000000001E-2</v>
      </c>
      <c r="F165" s="8">
        <v>-5.9915000000000003E-2</v>
      </c>
      <c r="G165" s="8">
        <v>-25307.934000000001</v>
      </c>
      <c r="H165" s="8">
        <v>-45257.78</v>
      </c>
    </row>
    <row r="166" spans="1:8" x14ac:dyDescent="0.15">
      <c r="A166" s="7" t="s">
        <v>444</v>
      </c>
      <c r="B166" s="8" t="s">
        <v>192</v>
      </c>
      <c r="C166" s="8">
        <v>5.8890999999999999E-2</v>
      </c>
      <c r="D166" s="8">
        <v>-2.0931000000000002E-2</v>
      </c>
      <c r="E166" s="8">
        <v>-2.0931000000000002E-2</v>
      </c>
      <c r="F166" s="8">
        <v>-5.8892E-2</v>
      </c>
      <c r="G166" s="8">
        <v>-24554.117999999999</v>
      </c>
      <c r="H166" s="8">
        <v>-45525.692000000003</v>
      </c>
    </row>
    <row r="167" spans="1:8" x14ac:dyDescent="0.15">
      <c r="A167" s="7" t="s">
        <v>445</v>
      </c>
      <c r="B167" s="8" t="s">
        <v>199</v>
      </c>
      <c r="C167" s="8">
        <v>5.8888999999999997E-2</v>
      </c>
      <c r="D167" s="8">
        <v>-2.0931999999999999E-2</v>
      </c>
      <c r="E167" s="8">
        <v>-2.0931000000000002E-2</v>
      </c>
      <c r="F167" s="8">
        <v>-5.8893000000000001E-2</v>
      </c>
      <c r="G167" s="8">
        <v>-23800.317999999999</v>
      </c>
      <c r="H167" s="8">
        <v>-45793.608</v>
      </c>
    </row>
    <row r="168" spans="1:8" x14ac:dyDescent="0.15">
      <c r="A168" s="7" t="s">
        <v>446</v>
      </c>
      <c r="B168" s="8" t="s">
        <v>198</v>
      </c>
      <c r="C168" s="8">
        <v>5.8889999999999998E-2</v>
      </c>
      <c r="D168" s="8">
        <v>-2.0931000000000002E-2</v>
      </c>
      <c r="E168" s="8">
        <v>-2.0931000000000002E-2</v>
      </c>
      <c r="F168" s="8">
        <v>-5.8892E-2</v>
      </c>
      <c r="G168" s="8">
        <v>-23046.538</v>
      </c>
      <c r="H168" s="8">
        <v>-46061.538999999997</v>
      </c>
    </row>
    <row r="169" spans="1:8" x14ac:dyDescent="0.15">
      <c r="A169" s="7" t="s">
        <v>447</v>
      </c>
      <c r="B169" s="8" t="s">
        <v>196</v>
      </c>
      <c r="C169" s="8">
        <v>5.8892E-2</v>
      </c>
      <c r="D169" s="8">
        <v>-2.0930000000000001E-2</v>
      </c>
      <c r="E169" s="8">
        <v>-2.0931000000000002E-2</v>
      </c>
      <c r="F169" s="8">
        <v>-5.8892E-2</v>
      </c>
      <c r="G169" s="8">
        <v>-22292.746999999999</v>
      </c>
      <c r="H169" s="8">
        <v>-46329.459000000003</v>
      </c>
    </row>
    <row r="170" spans="1:8" x14ac:dyDescent="0.15">
      <c r="A170" s="7" t="s">
        <v>448</v>
      </c>
      <c r="B170" s="8" t="s">
        <v>195</v>
      </c>
      <c r="C170" s="8">
        <v>5.8890999999999999E-2</v>
      </c>
      <c r="D170" s="8">
        <v>-2.0930000000000001E-2</v>
      </c>
      <c r="E170" s="8">
        <v>-2.0931999999999999E-2</v>
      </c>
      <c r="F170" s="8">
        <v>-5.8893000000000001E-2</v>
      </c>
      <c r="G170" s="8">
        <v>-21538.933000000001</v>
      </c>
      <c r="H170" s="8">
        <v>-46597.360999999997</v>
      </c>
    </row>
    <row r="171" spans="1:8" x14ac:dyDescent="0.15">
      <c r="A171" s="7" t="s">
        <v>449</v>
      </c>
      <c r="B171" s="8" t="s">
        <v>207</v>
      </c>
      <c r="C171" s="8">
        <v>5.8888999999999997E-2</v>
      </c>
      <c r="D171" s="8">
        <v>-2.0930000000000001E-2</v>
      </c>
      <c r="E171" s="8">
        <v>-2.0931999999999999E-2</v>
      </c>
      <c r="F171" s="8">
        <v>-5.8890999999999999E-2</v>
      </c>
      <c r="G171" s="8">
        <v>-30031.600999999999</v>
      </c>
      <c r="H171" s="8">
        <v>-44215.678999999996</v>
      </c>
    </row>
    <row r="172" spans="1:8" x14ac:dyDescent="0.15">
      <c r="A172" s="7" t="s">
        <v>450</v>
      </c>
      <c r="B172" s="8" t="s">
        <v>206</v>
      </c>
      <c r="C172" s="8">
        <v>5.8888999999999997E-2</v>
      </c>
      <c r="D172" s="8">
        <v>-2.0930000000000001E-2</v>
      </c>
      <c r="E172" s="8">
        <v>-2.0931999999999999E-2</v>
      </c>
      <c r="F172" s="8">
        <v>-5.8890999999999999E-2</v>
      </c>
      <c r="G172" s="8">
        <v>-29277.823</v>
      </c>
      <c r="H172" s="8">
        <v>-44483.58</v>
      </c>
    </row>
    <row r="173" spans="1:8" x14ac:dyDescent="0.15">
      <c r="A173" s="7" t="s">
        <v>451</v>
      </c>
      <c r="B173" s="8" t="s">
        <v>210</v>
      </c>
      <c r="C173" s="8">
        <v>5.8889999999999998E-2</v>
      </c>
      <c r="D173" s="8">
        <v>-2.0930000000000001E-2</v>
      </c>
      <c r="E173" s="8">
        <v>-2.0931999999999999E-2</v>
      </c>
      <c r="F173" s="8">
        <v>-5.8892E-2</v>
      </c>
      <c r="G173" s="8">
        <v>-28524.042000000001</v>
      </c>
      <c r="H173" s="8">
        <v>-44751.483</v>
      </c>
    </row>
    <row r="174" spans="1:8" x14ac:dyDescent="0.15">
      <c r="A174" s="7" t="s">
        <v>452</v>
      </c>
      <c r="B174" s="8" t="s">
        <v>213</v>
      </c>
      <c r="C174" s="8">
        <v>5.8889999999999998E-2</v>
      </c>
      <c r="D174" s="8">
        <v>-2.0930000000000001E-2</v>
      </c>
      <c r="E174" s="8">
        <v>-2.0931999999999999E-2</v>
      </c>
      <c r="F174" s="8">
        <v>-5.8892E-2</v>
      </c>
      <c r="G174" s="8">
        <v>-27770.254000000001</v>
      </c>
      <c r="H174" s="8">
        <v>-45019.383000000002</v>
      </c>
    </row>
    <row r="175" spans="1:8" x14ac:dyDescent="0.15">
      <c r="A175" s="7" t="s">
        <v>453</v>
      </c>
      <c r="B175" s="8" t="s">
        <v>18</v>
      </c>
      <c r="C175" s="8">
        <v>5.9743999999999998E-2</v>
      </c>
      <c r="D175" s="8">
        <v>-2.1235E-2</v>
      </c>
      <c r="E175" s="8">
        <v>-2.1291000000000001E-2</v>
      </c>
      <c r="F175" s="8">
        <v>-5.9903999999999999E-2</v>
      </c>
      <c r="G175" s="8">
        <v>-27016.457999999999</v>
      </c>
      <c r="H175" s="8">
        <v>-45287.283000000003</v>
      </c>
    </row>
    <row r="176" spans="1:8" x14ac:dyDescent="0.15">
      <c r="A176" s="7" t="s">
        <v>454</v>
      </c>
      <c r="B176" s="8" t="s">
        <v>203</v>
      </c>
      <c r="C176" s="8">
        <v>5.9833999999999998E-2</v>
      </c>
      <c r="D176" s="8">
        <v>-2.1267999999999999E-2</v>
      </c>
      <c r="E176" s="8">
        <v>-2.1266E-2</v>
      </c>
      <c r="F176" s="8">
        <v>-5.9833999999999998E-2</v>
      </c>
      <c r="G176" s="8">
        <v>-26262.664000000001</v>
      </c>
      <c r="H176" s="8">
        <v>-45555.203999999998</v>
      </c>
    </row>
    <row r="177" spans="1:8" x14ac:dyDescent="0.15">
      <c r="A177" s="7" t="s">
        <v>455</v>
      </c>
      <c r="B177" s="8" t="s">
        <v>204</v>
      </c>
      <c r="C177" s="8">
        <v>5.8890999999999999E-2</v>
      </c>
      <c r="D177" s="8">
        <v>-2.0931000000000002E-2</v>
      </c>
      <c r="E177" s="8">
        <v>-2.0931000000000002E-2</v>
      </c>
      <c r="F177" s="8">
        <v>-5.8892E-2</v>
      </c>
      <c r="G177" s="8">
        <v>-25508.868999999999</v>
      </c>
      <c r="H177" s="8">
        <v>-45823.14</v>
      </c>
    </row>
    <row r="178" spans="1:8" x14ac:dyDescent="0.15">
      <c r="A178" s="7" t="s">
        <v>456</v>
      </c>
      <c r="B178" s="8" t="s">
        <v>205</v>
      </c>
      <c r="C178" s="8">
        <v>5.8890999999999999E-2</v>
      </c>
      <c r="D178" s="8">
        <v>-2.0931000000000002E-2</v>
      </c>
      <c r="E178" s="8">
        <v>-2.0931000000000002E-2</v>
      </c>
      <c r="F178" s="8">
        <v>-5.8892E-2</v>
      </c>
      <c r="G178" s="8">
        <v>-24755.058000000001</v>
      </c>
      <c r="H178" s="8">
        <v>-46091.057000000001</v>
      </c>
    </row>
    <row r="179" spans="1:8" x14ac:dyDescent="0.15">
      <c r="A179" s="7" t="s">
        <v>457</v>
      </c>
      <c r="B179" s="8" t="s">
        <v>212</v>
      </c>
      <c r="C179" s="8">
        <v>5.8889999999999998E-2</v>
      </c>
      <c r="D179" s="8">
        <v>-2.0931000000000002E-2</v>
      </c>
      <c r="E179" s="8">
        <v>-2.0931000000000002E-2</v>
      </c>
      <c r="F179" s="8">
        <v>-5.8892E-2</v>
      </c>
      <c r="G179" s="8">
        <v>-24001.258999999998</v>
      </c>
      <c r="H179" s="8">
        <v>-46358.976999999999</v>
      </c>
    </row>
    <row r="180" spans="1:8" x14ac:dyDescent="0.15">
      <c r="A180" s="7" t="s">
        <v>458</v>
      </c>
      <c r="B180" s="8" t="s">
        <v>211</v>
      </c>
      <c r="C180" s="8">
        <v>5.8888999999999997E-2</v>
      </c>
      <c r="D180" s="8">
        <v>-2.0931000000000002E-2</v>
      </c>
      <c r="E180" s="8">
        <v>-2.0931000000000002E-2</v>
      </c>
      <c r="F180" s="8">
        <v>-5.8892E-2</v>
      </c>
      <c r="G180" s="8">
        <v>-23247.472000000002</v>
      </c>
      <c r="H180" s="8">
        <v>-46626.9</v>
      </c>
    </row>
    <row r="181" spans="1:8" x14ac:dyDescent="0.15">
      <c r="A181" s="7" t="s">
        <v>459</v>
      </c>
      <c r="B181" s="8" t="s">
        <v>209</v>
      </c>
      <c r="C181" s="8">
        <v>5.8890999999999999E-2</v>
      </c>
      <c r="D181" s="8">
        <v>-2.0930000000000001E-2</v>
      </c>
      <c r="E181" s="8">
        <v>-2.0931000000000002E-2</v>
      </c>
      <c r="F181" s="8">
        <v>-5.8890999999999999E-2</v>
      </c>
      <c r="G181" s="8">
        <v>-22493.688999999998</v>
      </c>
      <c r="H181" s="8">
        <v>-46894.822999999997</v>
      </c>
    </row>
    <row r="182" spans="1:8" x14ac:dyDescent="0.15">
      <c r="A182" s="7" t="s">
        <v>460</v>
      </c>
      <c r="B182" s="8" t="s">
        <v>208</v>
      </c>
      <c r="C182" s="8">
        <v>5.8890999999999999E-2</v>
      </c>
      <c r="D182" s="8">
        <v>-2.0931000000000002E-2</v>
      </c>
      <c r="E182" s="8">
        <v>-2.0931999999999999E-2</v>
      </c>
      <c r="F182" s="8">
        <v>-5.8892E-2</v>
      </c>
      <c r="G182" s="8">
        <v>-21739.884999999998</v>
      </c>
      <c r="H182" s="8">
        <v>-47162.732000000004</v>
      </c>
    </row>
    <row r="183" spans="1:8" x14ac:dyDescent="0.15">
      <c r="A183" s="7" t="s">
        <v>461</v>
      </c>
      <c r="B183" s="8" t="s">
        <v>219</v>
      </c>
      <c r="C183" s="8">
        <v>5.9833999999999998E-2</v>
      </c>
      <c r="D183" s="8">
        <v>-2.1266E-2</v>
      </c>
      <c r="E183" s="8">
        <v>-2.1269E-2</v>
      </c>
      <c r="F183" s="8">
        <v>-5.9838000000000002E-2</v>
      </c>
      <c r="G183" s="8">
        <v>-29478.773000000001</v>
      </c>
      <c r="H183" s="8">
        <v>-45048.936000000002</v>
      </c>
    </row>
    <row r="184" spans="1:8" x14ac:dyDescent="0.15">
      <c r="A184" s="7" t="s">
        <v>462</v>
      </c>
      <c r="B184" s="8" t="s">
        <v>221</v>
      </c>
      <c r="C184" s="8">
        <v>5.8889999999999998E-2</v>
      </c>
      <c r="D184" s="8">
        <v>-2.0930000000000001E-2</v>
      </c>
      <c r="E184" s="8">
        <v>-2.0931999999999999E-2</v>
      </c>
      <c r="F184" s="8">
        <v>-5.8890999999999999E-2</v>
      </c>
      <c r="G184" s="8">
        <v>-28724.989000000001</v>
      </c>
      <c r="H184" s="8">
        <v>-45316.843000000001</v>
      </c>
    </row>
    <row r="185" spans="1:8" x14ac:dyDescent="0.15">
      <c r="A185" s="7" t="s">
        <v>463</v>
      </c>
      <c r="B185" s="8" t="s">
        <v>224</v>
      </c>
      <c r="C185" s="8">
        <v>5.8889999999999998E-2</v>
      </c>
      <c r="D185" s="8">
        <v>-2.0930000000000001E-2</v>
      </c>
      <c r="E185" s="8">
        <v>-2.0931999999999999E-2</v>
      </c>
      <c r="F185" s="8">
        <v>-5.8892E-2</v>
      </c>
      <c r="G185" s="8">
        <v>-27971.199000000001</v>
      </c>
      <c r="H185" s="8">
        <v>-45584.749000000003</v>
      </c>
    </row>
    <row r="186" spans="1:8" x14ac:dyDescent="0.15">
      <c r="A186" s="7" t="s">
        <v>464</v>
      </c>
      <c r="B186" s="8" t="s">
        <v>225</v>
      </c>
      <c r="C186" s="8">
        <v>5.9712000000000001E-2</v>
      </c>
      <c r="D186" s="8">
        <v>-2.1222999999999999E-2</v>
      </c>
      <c r="E186" s="8">
        <v>-2.1224E-2</v>
      </c>
      <c r="F186" s="8">
        <v>-5.9714000000000003E-2</v>
      </c>
      <c r="G186" s="8">
        <v>-27217.403999999999</v>
      </c>
      <c r="H186" s="8">
        <v>-45852.656999999999</v>
      </c>
    </row>
    <row r="187" spans="1:8" x14ac:dyDescent="0.15">
      <c r="A187" s="7" t="s">
        <v>465</v>
      </c>
      <c r="B187" s="8" t="s">
        <v>216</v>
      </c>
      <c r="C187" s="8">
        <v>5.9834999999999999E-2</v>
      </c>
      <c r="D187" s="8">
        <v>-2.1267999999999999E-2</v>
      </c>
      <c r="E187" s="8">
        <v>-2.1266E-2</v>
      </c>
      <c r="F187" s="8">
        <v>-5.9833999999999998E-2</v>
      </c>
      <c r="G187" s="8">
        <v>-26463.605</v>
      </c>
      <c r="H187" s="8">
        <v>-46120.572</v>
      </c>
    </row>
    <row r="188" spans="1:8" x14ac:dyDescent="0.15">
      <c r="A188" s="7" t="s">
        <v>466</v>
      </c>
      <c r="B188" s="8" t="s">
        <v>217</v>
      </c>
      <c r="C188" s="8">
        <v>5.8890999999999999E-2</v>
      </c>
      <c r="D188" s="8">
        <v>-2.0931000000000002E-2</v>
      </c>
      <c r="E188" s="8">
        <v>-2.0931000000000002E-2</v>
      </c>
      <c r="F188" s="8">
        <v>-5.8892E-2</v>
      </c>
      <c r="G188" s="8">
        <v>-25709.803</v>
      </c>
      <c r="H188" s="8">
        <v>-46388.500999999997</v>
      </c>
    </row>
    <row r="189" spans="1:8" x14ac:dyDescent="0.15">
      <c r="A189" s="7" t="s">
        <v>467</v>
      </c>
      <c r="B189" s="8" t="s">
        <v>218</v>
      </c>
      <c r="C189" s="8">
        <v>5.8890999999999999E-2</v>
      </c>
      <c r="D189" s="8">
        <v>-2.0931000000000002E-2</v>
      </c>
      <c r="E189" s="8">
        <v>-2.0931000000000002E-2</v>
      </c>
      <c r="F189" s="8">
        <v>-5.8892E-2</v>
      </c>
      <c r="G189" s="8">
        <v>-24955.993999999999</v>
      </c>
      <c r="H189" s="8">
        <v>-46656.421999999999</v>
      </c>
    </row>
    <row r="190" spans="1:8" x14ac:dyDescent="0.15">
      <c r="A190" s="7" t="s">
        <v>468</v>
      </c>
      <c r="B190" s="8" t="s">
        <v>223</v>
      </c>
      <c r="C190" s="8">
        <v>5.8889999999999998E-2</v>
      </c>
      <c r="D190" s="8">
        <v>-2.0931000000000002E-2</v>
      </c>
      <c r="E190" s="8">
        <v>-2.0930000000000001E-2</v>
      </c>
      <c r="F190" s="8">
        <v>-5.8892E-2</v>
      </c>
      <c r="G190" s="8">
        <v>-24202.192999999999</v>
      </c>
      <c r="H190" s="8">
        <v>-46924.341999999997</v>
      </c>
    </row>
    <row r="191" spans="1:8" x14ac:dyDescent="0.15">
      <c r="A191" s="7" t="s">
        <v>469</v>
      </c>
      <c r="B191" s="8" t="s">
        <v>222</v>
      </c>
      <c r="C191" s="8">
        <v>5.8888999999999997E-2</v>
      </c>
      <c r="D191" s="8">
        <v>-2.0931000000000002E-2</v>
      </c>
      <c r="E191" s="8">
        <v>-2.0931000000000002E-2</v>
      </c>
      <c r="F191" s="8">
        <v>-5.8892E-2</v>
      </c>
      <c r="G191" s="8">
        <v>-23448.405999999999</v>
      </c>
      <c r="H191" s="8">
        <v>-47192.26</v>
      </c>
    </row>
    <row r="192" spans="1:8" x14ac:dyDescent="0.15">
      <c r="A192" s="7" t="s">
        <v>470</v>
      </c>
      <c r="B192" s="8" t="s">
        <v>220</v>
      </c>
      <c r="C192" s="8">
        <v>5.8889999999999998E-2</v>
      </c>
      <c r="D192" s="8">
        <v>-2.0931000000000002E-2</v>
      </c>
      <c r="E192" s="8">
        <v>-2.0931000000000002E-2</v>
      </c>
      <c r="F192" s="8">
        <v>-5.8890999999999999E-2</v>
      </c>
      <c r="G192" s="8">
        <v>-22694.621999999999</v>
      </c>
      <c r="H192" s="8">
        <v>-47460.178999999996</v>
      </c>
    </row>
    <row r="193" spans="1:8" x14ac:dyDescent="0.15">
      <c r="A193" s="7" t="s">
        <v>471</v>
      </c>
      <c r="B193" s="8" t="s">
        <v>215</v>
      </c>
      <c r="C193" s="8">
        <v>5.8890999999999999E-2</v>
      </c>
      <c r="D193" s="8">
        <v>-2.0931000000000002E-2</v>
      </c>
      <c r="E193" s="8">
        <v>-2.0931000000000002E-2</v>
      </c>
      <c r="F193" s="8">
        <v>-5.8890999999999999E-2</v>
      </c>
      <c r="G193" s="8">
        <v>-21940.83</v>
      </c>
      <c r="H193" s="8">
        <v>-47728.095000000001</v>
      </c>
    </row>
    <row r="194" spans="1:8" x14ac:dyDescent="0.15">
      <c r="A194" s="7" t="s">
        <v>472</v>
      </c>
      <c r="B194" s="8" t="s">
        <v>231</v>
      </c>
      <c r="C194" s="8">
        <v>5.8889999999999998E-2</v>
      </c>
      <c r="D194" s="8">
        <v>-2.0931000000000002E-2</v>
      </c>
      <c r="E194" s="8">
        <v>-2.0931999999999999E-2</v>
      </c>
      <c r="F194" s="8">
        <v>-5.8890999999999999E-2</v>
      </c>
      <c r="G194" s="8">
        <v>-29679.723000000002</v>
      </c>
      <c r="H194" s="8">
        <v>-45614.29</v>
      </c>
    </row>
    <row r="195" spans="1:8" x14ac:dyDescent="0.15">
      <c r="A195" s="7" t="s">
        <v>473</v>
      </c>
      <c r="B195" s="8" t="s">
        <v>233</v>
      </c>
      <c r="C195" s="8">
        <v>5.8889999999999998E-2</v>
      </c>
      <c r="D195" s="8">
        <v>-2.0931000000000002E-2</v>
      </c>
      <c r="E195" s="8">
        <v>-2.0931000000000002E-2</v>
      </c>
      <c r="F195" s="8">
        <v>-5.8892E-2</v>
      </c>
      <c r="G195" s="8">
        <v>-28925.937000000002</v>
      </c>
      <c r="H195" s="8">
        <v>-45882.201000000001</v>
      </c>
    </row>
    <row r="196" spans="1:8" x14ac:dyDescent="0.15">
      <c r="A196" s="7" t="s">
        <v>474</v>
      </c>
      <c r="B196" s="8" t="s">
        <v>236</v>
      </c>
      <c r="C196" s="8">
        <v>5.8889999999999998E-2</v>
      </c>
      <c r="D196" s="8">
        <v>-2.0931000000000002E-2</v>
      </c>
      <c r="E196" s="8">
        <v>-2.0931999999999999E-2</v>
      </c>
      <c r="F196" s="8">
        <v>-5.8892E-2</v>
      </c>
      <c r="G196" s="8">
        <v>-28172.145</v>
      </c>
      <c r="H196" s="8">
        <v>-46150.114000000001</v>
      </c>
    </row>
    <row r="197" spans="1:8" x14ac:dyDescent="0.15">
      <c r="A197" s="7" t="s">
        <v>475</v>
      </c>
      <c r="B197" s="8" t="s">
        <v>226</v>
      </c>
      <c r="C197" s="8">
        <v>5.8890999999999999E-2</v>
      </c>
      <c r="D197" s="8">
        <v>-2.0931000000000002E-2</v>
      </c>
      <c r="E197" s="8">
        <v>-2.0931999999999999E-2</v>
      </c>
      <c r="F197" s="8">
        <v>-5.8893000000000001E-2</v>
      </c>
      <c r="G197" s="8">
        <v>-27418.350999999999</v>
      </c>
      <c r="H197" s="8">
        <v>-46418.027999999998</v>
      </c>
    </row>
    <row r="198" spans="1:8" x14ac:dyDescent="0.15">
      <c r="A198" s="7" t="s">
        <v>476</v>
      </c>
      <c r="B198" s="8" t="s">
        <v>228</v>
      </c>
      <c r="C198" s="8">
        <v>5.9744999999999999E-2</v>
      </c>
      <c r="D198" s="8">
        <v>-2.1235E-2</v>
      </c>
      <c r="E198" s="8">
        <v>-2.1235E-2</v>
      </c>
      <c r="F198" s="8">
        <v>-5.9744999999999999E-2</v>
      </c>
      <c r="G198" s="8">
        <v>-26664.548999999999</v>
      </c>
      <c r="H198" s="8">
        <v>-46685.942999999999</v>
      </c>
    </row>
    <row r="199" spans="1:8" x14ac:dyDescent="0.15">
      <c r="A199" s="7" t="s">
        <v>477</v>
      </c>
      <c r="B199" s="8" t="s">
        <v>229</v>
      </c>
      <c r="C199" s="8">
        <v>5.8890999999999999E-2</v>
      </c>
      <c r="D199" s="8">
        <v>-2.0931000000000002E-2</v>
      </c>
      <c r="E199" s="8">
        <v>-2.0931000000000002E-2</v>
      </c>
      <c r="F199" s="8">
        <v>-5.8892E-2</v>
      </c>
      <c r="G199" s="8">
        <v>-25910.741000000002</v>
      </c>
      <c r="H199" s="8">
        <v>-46953.866000000002</v>
      </c>
    </row>
    <row r="200" spans="1:8" x14ac:dyDescent="0.15">
      <c r="A200" s="7" t="s">
        <v>478</v>
      </c>
      <c r="B200" s="8" t="s">
        <v>230</v>
      </c>
      <c r="C200" s="8">
        <v>5.8890999999999999E-2</v>
      </c>
      <c r="D200" s="8">
        <v>-2.0931000000000002E-2</v>
      </c>
      <c r="E200" s="8">
        <v>-2.0931000000000002E-2</v>
      </c>
      <c r="F200" s="8">
        <v>-5.8892E-2</v>
      </c>
      <c r="G200" s="8">
        <v>-25156.93</v>
      </c>
      <c r="H200" s="8">
        <v>-47221.786</v>
      </c>
    </row>
    <row r="201" spans="1:8" x14ac:dyDescent="0.15">
      <c r="A201" s="7" t="s">
        <v>479</v>
      </c>
      <c r="B201" s="8" t="s">
        <v>235</v>
      </c>
      <c r="C201" s="8">
        <v>5.8888999999999997E-2</v>
      </c>
      <c r="D201" s="8">
        <v>-2.0931000000000002E-2</v>
      </c>
      <c r="E201" s="8">
        <v>-2.0931000000000002E-2</v>
      </c>
      <c r="F201" s="8">
        <v>-5.8892E-2</v>
      </c>
      <c r="G201" s="8">
        <v>-24403.118999999999</v>
      </c>
      <c r="H201" s="8">
        <v>-47489.703000000001</v>
      </c>
    </row>
    <row r="202" spans="1:8" x14ac:dyDescent="0.15">
      <c r="A202" s="7" t="s">
        <v>480</v>
      </c>
      <c r="B202" s="8" t="s">
        <v>234</v>
      </c>
      <c r="C202" s="8">
        <v>5.8888999999999997E-2</v>
      </c>
      <c r="D202" s="8">
        <v>-2.0931000000000002E-2</v>
      </c>
      <c r="E202" s="8">
        <v>-2.0931000000000002E-2</v>
      </c>
      <c r="F202" s="8">
        <v>-5.8892E-2</v>
      </c>
      <c r="G202" s="8">
        <v>-23649.339</v>
      </c>
      <c r="H202" s="8">
        <v>-47757.62</v>
      </c>
    </row>
    <row r="203" spans="1:8" x14ac:dyDescent="0.15">
      <c r="A203" s="7" t="s">
        <v>481</v>
      </c>
      <c r="B203" s="8" t="s">
        <v>232</v>
      </c>
      <c r="C203" s="8">
        <v>5.8889999999999998E-2</v>
      </c>
      <c r="D203" s="8">
        <v>-2.0931000000000002E-2</v>
      </c>
      <c r="E203" s="8">
        <v>-2.0931000000000002E-2</v>
      </c>
      <c r="F203" s="8">
        <v>-5.8890999999999999E-2</v>
      </c>
      <c r="G203" s="8">
        <v>-22895.555</v>
      </c>
      <c r="H203" s="8">
        <v>-48025.534</v>
      </c>
    </row>
    <row r="204" spans="1:8" x14ac:dyDescent="0.15">
      <c r="A204" s="7" t="s">
        <v>482</v>
      </c>
      <c r="B204" s="8" t="s">
        <v>227</v>
      </c>
      <c r="C204" s="8">
        <v>5.8889999999999998E-2</v>
      </c>
      <c r="D204" s="8">
        <v>-2.0931000000000002E-2</v>
      </c>
      <c r="E204" s="8">
        <v>-2.0931000000000002E-2</v>
      </c>
      <c r="F204" s="8">
        <v>-5.8890999999999999E-2</v>
      </c>
      <c r="G204" s="8">
        <v>-22141.764999999999</v>
      </c>
      <c r="H204" s="8">
        <v>-48293.449000000001</v>
      </c>
    </row>
    <row r="205" spans="1:8" x14ac:dyDescent="0.15">
      <c r="A205" s="7" t="s">
        <v>483</v>
      </c>
      <c r="B205" s="8" t="s">
        <v>242</v>
      </c>
      <c r="C205" s="8">
        <v>5.9753000000000001E-2</v>
      </c>
      <c r="D205" s="8">
        <v>-2.1238E-2</v>
      </c>
      <c r="E205" s="8">
        <v>-2.1288000000000001E-2</v>
      </c>
      <c r="F205" s="8">
        <v>-5.9895999999999998E-2</v>
      </c>
      <c r="G205" s="8">
        <v>-29880.667000000001</v>
      </c>
      <c r="H205" s="8">
        <v>-46179.646000000001</v>
      </c>
    </row>
    <row r="206" spans="1:8" x14ac:dyDescent="0.15">
      <c r="A206" s="7" t="s">
        <v>484</v>
      </c>
      <c r="B206" s="8" t="s">
        <v>243</v>
      </c>
      <c r="C206" s="8">
        <v>5.8889999999999998E-2</v>
      </c>
      <c r="D206" s="8">
        <v>-2.0931000000000002E-2</v>
      </c>
      <c r="E206" s="8">
        <v>-2.0931000000000002E-2</v>
      </c>
      <c r="F206" s="8">
        <v>-5.8892E-2</v>
      </c>
      <c r="G206" s="8">
        <v>-29126.879000000001</v>
      </c>
      <c r="H206" s="8">
        <v>-46447.561000000002</v>
      </c>
    </row>
    <row r="207" spans="1:8" x14ac:dyDescent="0.15">
      <c r="A207" s="7" t="s">
        <v>485</v>
      </c>
      <c r="B207" s="8" t="s">
        <v>245</v>
      </c>
      <c r="C207" s="8">
        <v>5.8889999999999998E-2</v>
      </c>
      <c r="D207" s="8">
        <v>-2.0931000000000002E-2</v>
      </c>
      <c r="E207" s="8">
        <v>-2.0931000000000002E-2</v>
      </c>
      <c r="F207" s="8">
        <v>-5.8892E-2</v>
      </c>
      <c r="G207" s="8">
        <v>-28373.088</v>
      </c>
      <c r="H207" s="8">
        <v>-46715.478999999999</v>
      </c>
    </row>
    <row r="208" spans="1:8" x14ac:dyDescent="0.15">
      <c r="A208" s="7" t="s">
        <v>486</v>
      </c>
      <c r="B208" s="8" t="s">
        <v>238</v>
      </c>
      <c r="C208" s="8">
        <v>5.8890999999999999E-2</v>
      </c>
      <c r="D208" s="8">
        <v>-2.0931000000000002E-2</v>
      </c>
      <c r="E208" s="8">
        <v>-2.0931999999999999E-2</v>
      </c>
      <c r="F208" s="8">
        <v>-5.8892E-2</v>
      </c>
      <c r="G208" s="8">
        <v>-27619.298999999999</v>
      </c>
      <c r="H208" s="8">
        <v>-46983.398999999998</v>
      </c>
    </row>
    <row r="209" spans="1:8" x14ac:dyDescent="0.15">
      <c r="A209" s="7" t="s">
        <v>487</v>
      </c>
      <c r="B209" s="8" t="s">
        <v>239</v>
      </c>
      <c r="C209" s="8">
        <v>5.9836E-2</v>
      </c>
      <c r="D209" s="8">
        <v>-2.1267000000000001E-2</v>
      </c>
      <c r="E209" s="8">
        <v>-2.1266E-2</v>
      </c>
      <c r="F209" s="8">
        <v>-5.9833999999999998E-2</v>
      </c>
      <c r="G209" s="8">
        <v>-26865.493999999999</v>
      </c>
      <c r="H209" s="8">
        <v>-47251.313999999998</v>
      </c>
    </row>
    <row r="210" spans="1:8" x14ac:dyDescent="0.15">
      <c r="A210" s="7" t="s">
        <v>488</v>
      </c>
      <c r="B210" s="8" t="s">
        <v>240</v>
      </c>
      <c r="C210" s="8">
        <v>5.9746E-2</v>
      </c>
      <c r="D210" s="8">
        <v>-2.1235E-2</v>
      </c>
      <c r="E210" s="8">
        <v>-2.1292999999999999E-2</v>
      </c>
      <c r="F210" s="8">
        <v>-5.9909999999999998E-2</v>
      </c>
      <c r="G210" s="8">
        <v>-26111.683000000001</v>
      </c>
      <c r="H210" s="8">
        <v>-47519.232000000004</v>
      </c>
    </row>
    <row r="211" spans="1:8" x14ac:dyDescent="0.15">
      <c r="A211" s="7" t="s">
        <v>489</v>
      </c>
      <c r="B211" s="8" t="s">
        <v>241</v>
      </c>
      <c r="C211" s="8">
        <v>5.9746E-2</v>
      </c>
      <c r="D211" s="8">
        <v>-2.1233999999999999E-2</v>
      </c>
      <c r="E211" s="8">
        <v>-2.1235E-2</v>
      </c>
      <c r="F211" s="8">
        <v>-5.9744999999999999E-2</v>
      </c>
      <c r="G211" s="8">
        <v>-25357.867999999999</v>
      </c>
      <c r="H211" s="8">
        <v>-47787.150999999998</v>
      </c>
    </row>
    <row r="212" spans="1:8" x14ac:dyDescent="0.15">
      <c r="A212" s="7" t="s">
        <v>490</v>
      </c>
      <c r="B212" s="8" t="s">
        <v>244</v>
      </c>
      <c r="C212" s="8">
        <v>5.8888999999999997E-2</v>
      </c>
      <c r="D212" s="8">
        <v>-2.0931000000000002E-2</v>
      </c>
      <c r="E212" s="8">
        <v>-2.0933E-2</v>
      </c>
      <c r="F212" s="8">
        <v>-5.8892E-2</v>
      </c>
      <c r="G212" s="8">
        <v>-24604.056</v>
      </c>
      <c r="H212" s="8">
        <v>-48055.065999999999</v>
      </c>
    </row>
    <row r="213" spans="1:8" x14ac:dyDescent="0.15">
      <c r="A213" s="7" t="s">
        <v>491</v>
      </c>
      <c r="B213" s="8" t="s">
        <v>237</v>
      </c>
      <c r="C213" s="8">
        <v>5.8889999999999998E-2</v>
      </c>
      <c r="D213" s="8">
        <v>-2.0930000000000001E-2</v>
      </c>
      <c r="E213" s="8">
        <v>-2.0931999999999999E-2</v>
      </c>
      <c r="F213" s="8">
        <v>-5.8892E-2</v>
      </c>
      <c r="G213" s="8">
        <v>-23850.276000000002</v>
      </c>
      <c r="H213" s="8">
        <v>-48322.978999999999</v>
      </c>
    </row>
    <row r="214" spans="1:8" x14ac:dyDescent="0.15">
      <c r="A214" s="7" t="s">
        <v>492</v>
      </c>
      <c r="B214" s="8" t="s">
        <v>251</v>
      </c>
      <c r="C214" s="8">
        <v>5.8889999999999998E-2</v>
      </c>
      <c r="D214" s="8">
        <v>-2.0931000000000002E-2</v>
      </c>
      <c r="E214" s="8">
        <v>-2.0931000000000002E-2</v>
      </c>
      <c r="F214" s="8">
        <v>-5.8890999999999999E-2</v>
      </c>
      <c r="G214" s="8">
        <v>-30081.603999999999</v>
      </c>
      <c r="H214" s="8">
        <v>-46745.002</v>
      </c>
    </row>
    <row r="215" spans="1:8" x14ac:dyDescent="0.15">
      <c r="A215" s="7" t="s">
        <v>493</v>
      </c>
      <c r="B215" s="8" t="s">
        <v>252</v>
      </c>
      <c r="C215" s="8">
        <v>5.8889999999999998E-2</v>
      </c>
      <c r="D215" s="8">
        <v>-2.0931000000000002E-2</v>
      </c>
      <c r="E215" s="8">
        <v>-2.0931000000000002E-2</v>
      </c>
      <c r="F215" s="8">
        <v>-5.8890999999999999E-2</v>
      </c>
      <c r="G215" s="8">
        <v>-29327.815999999999</v>
      </c>
      <c r="H215" s="8">
        <v>-47012.92</v>
      </c>
    </row>
    <row r="216" spans="1:8" x14ac:dyDescent="0.15">
      <c r="A216" s="7" t="s">
        <v>494</v>
      </c>
      <c r="B216" s="8" t="s">
        <v>253</v>
      </c>
      <c r="C216" s="8">
        <v>5.8888999999999997E-2</v>
      </c>
      <c r="D216" s="8">
        <v>-2.0931999999999999E-2</v>
      </c>
      <c r="E216" s="8">
        <v>-2.0931000000000002E-2</v>
      </c>
      <c r="F216" s="8">
        <v>-5.8892E-2</v>
      </c>
      <c r="G216" s="8">
        <v>-28574.026999999998</v>
      </c>
      <c r="H216" s="8">
        <v>-47280.841</v>
      </c>
    </row>
    <row r="217" spans="1:8" x14ac:dyDescent="0.15">
      <c r="A217" s="7" t="s">
        <v>495</v>
      </c>
      <c r="B217" s="8" t="s">
        <v>247</v>
      </c>
      <c r="C217" s="8">
        <v>5.8890999999999999E-2</v>
      </c>
      <c r="D217" s="8">
        <v>-2.0931000000000002E-2</v>
      </c>
      <c r="E217" s="8">
        <v>-2.0931000000000002E-2</v>
      </c>
      <c r="F217" s="8">
        <v>-5.8892E-2</v>
      </c>
      <c r="G217" s="8">
        <v>-27820.241999999998</v>
      </c>
      <c r="H217" s="8">
        <v>-47548.766000000003</v>
      </c>
    </row>
    <row r="218" spans="1:8" x14ac:dyDescent="0.15">
      <c r="A218" s="7" t="s">
        <v>496</v>
      </c>
      <c r="B218" s="8" t="s">
        <v>248</v>
      </c>
      <c r="C218" s="8">
        <v>5.8892E-2</v>
      </c>
      <c r="D218" s="8">
        <v>-2.0931000000000002E-2</v>
      </c>
      <c r="E218" s="8">
        <v>-2.0931000000000002E-2</v>
      </c>
      <c r="F218" s="8">
        <v>-5.8892E-2</v>
      </c>
      <c r="G218" s="8">
        <v>-27066.440999999999</v>
      </c>
      <c r="H218" s="8">
        <v>-47816.684999999998</v>
      </c>
    </row>
    <row r="219" spans="1:8" x14ac:dyDescent="0.15">
      <c r="A219" s="7" t="s">
        <v>497</v>
      </c>
      <c r="B219" s="8" t="s">
        <v>249</v>
      </c>
      <c r="C219" s="8">
        <v>5.8892E-2</v>
      </c>
      <c r="D219" s="8">
        <v>-2.0931000000000002E-2</v>
      </c>
      <c r="E219" s="8">
        <v>-2.0931000000000002E-2</v>
      </c>
      <c r="F219" s="8">
        <v>-5.8892E-2</v>
      </c>
      <c r="G219" s="8">
        <v>-26312.626</v>
      </c>
      <c r="H219" s="8">
        <v>-48084.597999999998</v>
      </c>
    </row>
    <row r="220" spans="1:8" x14ac:dyDescent="0.15">
      <c r="A220" s="7" t="s">
        <v>498</v>
      </c>
      <c r="B220" s="8" t="s">
        <v>250</v>
      </c>
      <c r="C220" s="8">
        <v>5.9834999999999999E-2</v>
      </c>
      <c r="D220" s="8">
        <v>-2.1266E-2</v>
      </c>
      <c r="E220" s="8">
        <v>-2.1267999999999999E-2</v>
      </c>
      <c r="F220" s="8">
        <v>-5.9839999999999997E-2</v>
      </c>
      <c r="G220" s="8">
        <v>-25558.812999999998</v>
      </c>
      <c r="H220" s="8">
        <v>-48352.516000000003</v>
      </c>
    </row>
    <row r="221" spans="1:8" x14ac:dyDescent="0.15">
      <c r="A221" s="7" t="s">
        <v>499</v>
      </c>
      <c r="B221" s="8" t="s">
        <v>246</v>
      </c>
      <c r="C221" s="8">
        <v>5.8889999999999998E-2</v>
      </c>
      <c r="D221" s="8">
        <v>-2.0930000000000001E-2</v>
      </c>
      <c r="E221" s="8">
        <v>-2.0931999999999999E-2</v>
      </c>
      <c r="F221" s="8">
        <v>-5.8892E-2</v>
      </c>
      <c r="G221" s="8">
        <v>-24805.008999999998</v>
      </c>
      <c r="H221" s="8">
        <v>-48620.43</v>
      </c>
    </row>
    <row r="222" spans="1:8" x14ac:dyDescent="0.15">
      <c r="A222" s="7" t="s">
        <v>500</v>
      </c>
      <c r="B222" s="8" t="s">
        <v>259</v>
      </c>
      <c r="C222" s="8">
        <v>5.9776999999999997E-2</v>
      </c>
      <c r="D222" s="8">
        <v>-2.1246999999999999E-2</v>
      </c>
      <c r="E222" s="8">
        <v>-2.1276E-2</v>
      </c>
      <c r="F222" s="8">
        <v>-5.9864000000000001E-2</v>
      </c>
      <c r="G222" s="8">
        <v>-30282.539000000001</v>
      </c>
      <c r="H222" s="8">
        <v>-47310.357000000004</v>
      </c>
    </row>
    <row r="223" spans="1:8" x14ac:dyDescent="0.15">
      <c r="A223" s="7" t="s">
        <v>501</v>
      </c>
      <c r="B223" s="8" t="s">
        <v>260</v>
      </c>
      <c r="C223" s="8">
        <v>5.8889999999999998E-2</v>
      </c>
      <c r="D223" s="8">
        <v>-2.0931000000000002E-2</v>
      </c>
      <c r="E223" s="8">
        <v>-2.0930000000000001E-2</v>
      </c>
      <c r="F223" s="8">
        <v>-5.8890999999999999E-2</v>
      </c>
      <c r="G223" s="8">
        <v>-29528.75</v>
      </c>
      <c r="H223" s="8">
        <v>-47578.277999999998</v>
      </c>
    </row>
    <row r="224" spans="1:8" x14ac:dyDescent="0.15">
      <c r="A224" s="7" t="s">
        <v>502</v>
      </c>
      <c r="B224" s="8" t="s">
        <v>261</v>
      </c>
      <c r="C224" s="8">
        <v>5.8889999999999998E-2</v>
      </c>
      <c r="D224" s="8">
        <v>-2.0931999999999999E-2</v>
      </c>
      <c r="E224" s="8">
        <v>-2.0930000000000001E-2</v>
      </c>
      <c r="F224" s="8">
        <v>-5.8890999999999999E-2</v>
      </c>
      <c r="G224" s="8">
        <v>-28774.963</v>
      </c>
      <c r="H224" s="8">
        <v>-47846.2</v>
      </c>
    </row>
    <row r="225" spans="1:8" x14ac:dyDescent="0.15">
      <c r="A225" s="7" t="s">
        <v>503</v>
      </c>
      <c r="B225" s="8" t="s">
        <v>255</v>
      </c>
      <c r="C225" s="8">
        <v>5.8890999999999999E-2</v>
      </c>
      <c r="D225" s="8">
        <v>-2.0931000000000002E-2</v>
      </c>
      <c r="E225" s="8">
        <v>-2.0930000000000001E-2</v>
      </c>
      <c r="F225" s="8">
        <v>-5.8890999999999999E-2</v>
      </c>
      <c r="G225" s="8">
        <v>-28021.175999999999</v>
      </c>
      <c r="H225" s="8">
        <v>-48114.125</v>
      </c>
    </row>
    <row r="226" spans="1:8" x14ac:dyDescent="0.15">
      <c r="A226" s="7" t="s">
        <v>504</v>
      </c>
      <c r="B226" s="8" t="s">
        <v>256</v>
      </c>
      <c r="C226" s="8">
        <v>5.9749999999999998E-2</v>
      </c>
      <c r="D226" s="8">
        <v>-2.1236000000000001E-2</v>
      </c>
      <c r="E226" s="8">
        <v>-2.1291999999999998E-2</v>
      </c>
      <c r="F226" s="8">
        <v>-5.9908000000000003E-2</v>
      </c>
      <c r="G226" s="8">
        <v>-27267.377</v>
      </c>
      <c r="H226" s="8">
        <v>-48382.044000000002</v>
      </c>
    </row>
    <row r="227" spans="1:8" x14ac:dyDescent="0.15">
      <c r="A227" s="7" t="s">
        <v>505</v>
      </c>
      <c r="B227" s="8" t="s">
        <v>257</v>
      </c>
      <c r="C227" s="8">
        <v>5.8890999999999999E-2</v>
      </c>
      <c r="D227" s="8">
        <v>-2.0931000000000002E-2</v>
      </c>
      <c r="E227" s="8">
        <v>-2.0931000000000002E-2</v>
      </c>
      <c r="F227" s="8">
        <v>-5.8890999999999999E-2</v>
      </c>
      <c r="G227" s="8">
        <v>-26513.566999999999</v>
      </c>
      <c r="H227" s="8">
        <v>-48649.96</v>
      </c>
    </row>
    <row r="228" spans="1:8" x14ac:dyDescent="0.15">
      <c r="A228" s="7" t="s">
        <v>506</v>
      </c>
      <c r="B228" s="8" t="s">
        <v>258</v>
      </c>
      <c r="C228" s="8">
        <v>5.9816000000000001E-2</v>
      </c>
      <c r="D228" s="8">
        <v>-2.1260000000000001E-2</v>
      </c>
      <c r="E228" s="8">
        <v>-2.1259E-2</v>
      </c>
      <c r="F228" s="8">
        <v>-5.9813999999999999E-2</v>
      </c>
      <c r="G228" s="8">
        <v>-25759.757000000001</v>
      </c>
      <c r="H228" s="8">
        <v>-48917.88</v>
      </c>
    </row>
    <row r="229" spans="1:8" x14ac:dyDescent="0.15">
      <c r="A229" s="7" t="s">
        <v>507</v>
      </c>
      <c r="B229" s="8" t="s">
        <v>254</v>
      </c>
      <c r="C229" s="8">
        <v>5.8889999999999998E-2</v>
      </c>
      <c r="D229" s="8">
        <v>-2.0930000000000001E-2</v>
      </c>
      <c r="E229" s="8">
        <v>-2.0931999999999999E-2</v>
      </c>
      <c r="F229" s="8">
        <v>-5.8892E-2</v>
      </c>
      <c r="G229" s="8">
        <v>-25005.957999999999</v>
      </c>
      <c r="H229" s="8">
        <v>-49185.794999999998</v>
      </c>
    </row>
    <row r="230" spans="1:8" x14ac:dyDescent="0.15">
      <c r="A230" s="7" t="s">
        <v>508</v>
      </c>
      <c r="B230" s="8" t="s">
        <v>266</v>
      </c>
      <c r="C230" s="8">
        <v>5.9768000000000002E-2</v>
      </c>
      <c r="D230" s="8">
        <v>-2.1243000000000001E-2</v>
      </c>
      <c r="E230" s="8">
        <v>-2.1277999999999998E-2</v>
      </c>
      <c r="F230" s="8">
        <v>-5.987E-2</v>
      </c>
      <c r="G230" s="8">
        <v>-29729.681</v>
      </c>
      <c r="H230" s="8">
        <v>-48143.633999999998</v>
      </c>
    </row>
    <row r="231" spans="1:8" x14ac:dyDescent="0.15">
      <c r="A231" s="7" t="s">
        <v>509</v>
      </c>
      <c r="B231" s="8" t="s">
        <v>267</v>
      </c>
      <c r="C231" s="8">
        <v>5.9839000000000003E-2</v>
      </c>
      <c r="D231" s="8">
        <v>-2.1269E-2</v>
      </c>
      <c r="E231" s="8">
        <v>-2.1267000000000001E-2</v>
      </c>
      <c r="F231" s="8">
        <v>-5.9838000000000002E-2</v>
      </c>
      <c r="G231" s="8">
        <v>-28975.893</v>
      </c>
      <c r="H231" s="8">
        <v>-48411.555999999997</v>
      </c>
    </row>
    <row r="232" spans="1:8" x14ac:dyDescent="0.15">
      <c r="A232" s="7" t="s">
        <v>510</v>
      </c>
      <c r="B232" s="8" t="s">
        <v>263</v>
      </c>
      <c r="C232" s="8">
        <v>5.8889999999999998E-2</v>
      </c>
      <c r="D232" s="8">
        <v>-2.0931000000000002E-2</v>
      </c>
      <c r="E232" s="8">
        <v>-2.0930000000000001E-2</v>
      </c>
      <c r="F232" s="8">
        <v>-5.8890999999999999E-2</v>
      </c>
      <c r="G232" s="8">
        <v>-28222.105</v>
      </c>
      <c r="H232" s="8">
        <v>-48679.478999999999</v>
      </c>
    </row>
    <row r="233" spans="1:8" x14ac:dyDescent="0.15">
      <c r="A233" s="7" t="s">
        <v>511</v>
      </c>
      <c r="B233" s="8" t="s">
        <v>264</v>
      </c>
      <c r="C233" s="8">
        <v>5.8890999999999999E-2</v>
      </c>
      <c r="D233" s="8">
        <v>-2.0931000000000002E-2</v>
      </c>
      <c r="E233" s="8">
        <v>-2.0930000000000001E-2</v>
      </c>
      <c r="F233" s="8">
        <v>-5.8890999999999999E-2</v>
      </c>
      <c r="G233" s="8">
        <v>-27468.311000000002</v>
      </c>
      <c r="H233" s="8">
        <v>-48947.4</v>
      </c>
    </row>
    <row r="234" spans="1:8" x14ac:dyDescent="0.15">
      <c r="A234" s="7" t="s">
        <v>512</v>
      </c>
      <c r="B234" s="8" t="s">
        <v>265</v>
      </c>
      <c r="C234" s="8">
        <v>5.9744999999999999E-2</v>
      </c>
      <c r="D234" s="8">
        <v>-2.1235E-2</v>
      </c>
      <c r="E234" s="8">
        <v>-2.1301E-2</v>
      </c>
      <c r="F234" s="8">
        <v>-5.9934000000000001E-2</v>
      </c>
      <c r="G234" s="8">
        <v>-26714.506000000001</v>
      </c>
      <c r="H234" s="8">
        <v>-49215.317999999999</v>
      </c>
    </row>
    <row r="235" spans="1:8" x14ac:dyDescent="0.15">
      <c r="A235" s="7" t="s">
        <v>513</v>
      </c>
      <c r="B235" s="8" t="s">
        <v>262</v>
      </c>
      <c r="C235" s="8">
        <v>7.9792000000000002E-2</v>
      </c>
      <c r="D235" s="8">
        <v>-2.836E-2</v>
      </c>
      <c r="E235" s="8">
        <v>-2.8382000000000001E-2</v>
      </c>
      <c r="F235" s="8">
        <v>-7.9852000000000006E-2</v>
      </c>
      <c r="G235" s="8">
        <v>-25960.7</v>
      </c>
      <c r="H235" s="8">
        <v>-49483.241000000002</v>
      </c>
    </row>
    <row r="236" spans="1:8" x14ac:dyDescent="0.15">
      <c r="A236" s="7" t="s">
        <v>514</v>
      </c>
      <c r="B236" s="8" t="s">
        <v>271</v>
      </c>
      <c r="C236" s="8">
        <v>5.8889999999999998E-2</v>
      </c>
      <c r="D236" s="8">
        <v>-2.0931000000000002E-2</v>
      </c>
      <c r="E236" s="8">
        <v>-2.0930000000000001E-2</v>
      </c>
      <c r="F236" s="8">
        <v>-5.8890999999999999E-2</v>
      </c>
      <c r="G236" s="8">
        <v>-29176.823</v>
      </c>
      <c r="H236" s="8">
        <v>-48976.91</v>
      </c>
    </row>
    <row r="237" spans="1:8" x14ac:dyDescent="0.15">
      <c r="A237" s="7" t="s">
        <v>515</v>
      </c>
      <c r="B237" s="8" t="s">
        <v>269</v>
      </c>
      <c r="C237" s="8">
        <v>5.8889999999999998E-2</v>
      </c>
      <c r="D237" s="8">
        <v>-2.0931000000000002E-2</v>
      </c>
      <c r="E237" s="8">
        <v>-2.0930000000000001E-2</v>
      </c>
      <c r="F237" s="8">
        <v>-5.8890999999999999E-2</v>
      </c>
      <c r="G237" s="8">
        <v>-28423.034</v>
      </c>
      <c r="H237" s="8">
        <v>-49244.830999999998</v>
      </c>
    </row>
    <row r="238" spans="1:8" x14ac:dyDescent="0.15">
      <c r="A238" s="7" t="s">
        <v>516</v>
      </c>
      <c r="B238" s="8" t="s">
        <v>270</v>
      </c>
      <c r="C238" s="8">
        <v>5.9740000000000001E-2</v>
      </c>
      <c r="D238" s="8">
        <v>-2.1232999999999998E-2</v>
      </c>
      <c r="E238" s="8">
        <v>-2.1232999999999998E-2</v>
      </c>
      <c r="F238" s="8">
        <v>-5.9742999999999997E-2</v>
      </c>
      <c r="G238" s="8">
        <v>-27669.241000000002</v>
      </c>
      <c r="H238" s="8">
        <v>-49512.752</v>
      </c>
    </row>
    <row r="239" spans="1:8" x14ac:dyDescent="0.15">
      <c r="A239" s="7" t="s">
        <v>517</v>
      </c>
      <c r="B239" s="8" t="s">
        <v>268</v>
      </c>
      <c r="C239" s="8">
        <v>5.8889999999999998E-2</v>
      </c>
      <c r="D239" s="8">
        <v>-2.0931000000000002E-2</v>
      </c>
      <c r="E239" s="8">
        <v>-2.0931000000000002E-2</v>
      </c>
      <c r="F239" s="8">
        <v>-5.8890999999999999E-2</v>
      </c>
      <c r="G239" s="8">
        <v>-26915.440999999999</v>
      </c>
      <c r="H239" s="8">
        <v>-49780.673000000003</v>
      </c>
    </row>
    <row r="240" spans="1:8" x14ac:dyDescent="0.15">
      <c r="A240" s="7" t="s">
        <v>518</v>
      </c>
      <c r="B240" s="8" t="s">
        <v>274</v>
      </c>
      <c r="C240" s="8">
        <v>5.8889999999999998E-2</v>
      </c>
      <c r="D240" s="8">
        <v>-2.0931000000000002E-2</v>
      </c>
      <c r="E240" s="8">
        <v>-2.0930000000000001E-2</v>
      </c>
      <c r="F240" s="8">
        <v>-5.8890999999999999E-2</v>
      </c>
      <c r="G240" s="8">
        <v>-29377.754000000001</v>
      </c>
      <c r="H240" s="8">
        <v>-49542.260999999999</v>
      </c>
    </row>
    <row r="241" spans="1:8" x14ac:dyDescent="0.15">
      <c r="A241" s="7" t="s">
        <v>519</v>
      </c>
      <c r="B241" s="8" t="s">
        <v>273</v>
      </c>
      <c r="C241" s="8">
        <v>5.9762999999999997E-2</v>
      </c>
      <c r="D241" s="8">
        <v>-2.1242E-2</v>
      </c>
      <c r="E241" s="8">
        <v>-2.1271000000000002E-2</v>
      </c>
      <c r="F241" s="8">
        <v>-5.9851000000000001E-2</v>
      </c>
      <c r="G241" s="8">
        <v>-28623.963</v>
      </c>
      <c r="H241" s="8">
        <v>-49810.182000000001</v>
      </c>
    </row>
    <row r="242" spans="1:8" x14ac:dyDescent="0.15">
      <c r="A242" s="7" t="s">
        <v>520</v>
      </c>
      <c r="B242" s="8" t="s">
        <v>272</v>
      </c>
      <c r="C242" s="8">
        <v>5.8889999999999998E-2</v>
      </c>
      <c r="D242" s="8">
        <v>-2.0931000000000002E-2</v>
      </c>
      <c r="E242" s="8">
        <v>-2.0930000000000001E-2</v>
      </c>
      <c r="F242" s="8">
        <v>-5.8890999999999999E-2</v>
      </c>
      <c r="G242" s="8">
        <v>-27870.169000000002</v>
      </c>
      <c r="H242" s="8">
        <v>-50078.101999999999</v>
      </c>
    </row>
    <row r="243" spans="1:8" x14ac:dyDescent="0.15">
      <c r="A243" s="7" t="s">
        <v>521</v>
      </c>
      <c r="B243" s="8" t="s">
        <v>276</v>
      </c>
      <c r="C243" s="8">
        <v>5.8889999999999998E-2</v>
      </c>
      <c r="D243" s="8">
        <v>-2.0931000000000002E-2</v>
      </c>
      <c r="E243" s="8">
        <v>-2.0930000000000001E-2</v>
      </c>
      <c r="F243" s="8">
        <v>-5.8890999999999999E-2</v>
      </c>
      <c r="G243" s="8">
        <v>-28824.892</v>
      </c>
      <c r="H243" s="8">
        <v>-50375.533000000003</v>
      </c>
    </row>
    <row r="244" spans="1:8" x14ac:dyDescent="0.15">
      <c r="A244" s="7" t="s">
        <v>522</v>
      </c>
      <c r="B244" s="8" t="s">
        <v>275</v>
      </c>
      <c r="C244" s="8">
        <v>5.8889999999999998E-2</v>
      </c>
      <c r="D244" s="8">
        <v>-2.0931000000000002E-2</v>
      </c>
      <c r="E244" s="8">
        <v>-2.0930000000000001E-2</v>
      </c>
      <c r="F244" s="8">
        <v>-5.8890999999999999E-2</v>
      </c>
      <c r="G244" s="8">
        <v>-28071.098000000002</v>
      </c>
      <c r="H244" s="8">
        <v>-50643.451999999997</v>
      </c>
    </row>
    <row r="245" spans="1:8" x14ac:dyDescent="0.15">
      <c r="A245" s="7" t="s">
        <v>523</v>
      </c>
      <c r="B245" s="8" t="s">
        <v>278</v>
      </c>
      <c r="C245" s="8">
        <v>5.8889999999999998E-2</v>
      </c>
      <c r="D245" s="8">
        <v>-2.0931000000000002E-2</v>
      </c>
      <c r="E245" s="8">
        <v>-2.0930000000000001E-2</v>
      </c>
      <c r="F245" s="8">
        <v>-5.8890999999999999E-2</v>
      </c>
      <c r="G245" s="8">
        <v>-29025.821</v>
      </c>
      <c r="H245" s="8">
        <v>-50940.885000000002</v>
      </c>
    </row>
    <row r="246" spans="1:8" x14ac:dyDescent="0.15">
      <c r="A246" s="7" t="s">
        <v>524</v>
      </c>
      <c r="B246" s="8" t="s">
        <v>277</v>
      </c>
      <c r="C246" s="8">
        <v>5.8889999999999998E-2</v>
      </c>
      <c r="D246" s="8">
        <v>-2.0931000000000002E-2</v>
      </c>
      <c r="E246" s="8">
        <v>-2.0930000000000001E-2</v>
      </c>
      <c r="F246" s="8">
        <v>-5.8890999999999999E-2</v>
      </c>
      <c r="G246" s="8">
        <v>-28272.026000000002</v>
      </c>
      <c r="H246" s="8">
        <v>-51208.802000000003</v>
      </c>
    </row>
  </sheetData>
  <mergeCells count="8">
    <mergeCell ref="A1:A2"/>
    <mergeCell ref="B1:B2"/>
    <mergeCell ref="C1:H2"/>
    <mergeCell ref="O1:P2"/>
    <mergeCell ref="Q1:R2"/>
    <mergeCell ref="M1:N1"/>
    <mergeCell ref="I1:J2"/>
    <mergeCell ref="K1:L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TFW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tput_TFW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utton 17">
              <controlPr defaultSize="0" print="0" autoFill="0" autoPict="0" macro="[0]!Create_Mesh_Sima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7"/>
  <sheetViews>
    <sheetView tabSelected="1" zoomScale="85" zoomScaleNormal="85" workbookViewId="0"/>
  </sheetViews>
  <sheetFormatPr defaultRowHeight="13.5" x14ac:dyDescent="0.15"/>
  <cols>
    <col min="1" max="1" width="24.75" style="1" customWidth="1"/>
    <col min="3" max="3" width="9.5" bestFit="1" customWidth="1"/>
    <col min="6" max="7" width="10.5" bestFit="1" customWidth="1"/>
    <col min="8" max="8" width="11.625" bestFit="1" customWidth="1"/>
    <col min="9" max="9" width="42.75" bestFit="1" customWidth="1"/>
    <col min="10" max="10" width="30.5" bestFit="1" customWidth="1"/>
    <col min="11" max="16" width="14.25" customWidth="1"/>
  </cols>
  <sheetData>
    <row r="1" spans="1:18" x14ac:dyDescent="0.15">
      <c r="I1" s="6" t="s">
        <v>15</v>
      </c>
      <c r="J1" s="4" t="s">
        <v>12</v>
      </c>
    </row>
    <row r="2" spans="1:18" x14ac:dyDescent="0.15">
      <c r="I2" s="5" t="s">
        <v>13</v>
      </c>
      <c r="J2" t="s">
        <v>10</v>
      </c>
    </row>
    <row r="3" spans="1:18" x14ac:dyDescent="0.15">
      <c r="I3" s="5" t="s">
        <v>14</v>
      </c>
      <c r="J3" t="s">
        <v>11</v>
      </c>
      <c r="M3" s="19" t="s">
        <v>6</v>
      </c>
      <c r="N3" s="19" t="s">
        <v>7</v>
      </c>
    </row>
    <row r="4" spans="1:18" x14ac:dyDescent="0.15">
      <c r="A4" s="30" t="s">
        <v>0</v>
      </c>
      <c r="B4" s="32" t="s">
        <v>1</v>
      </c>
      <c r="C4" s="34" t="s">
        <v>2</v>
      </c>
      <c r="D4" s="35"/>
      <c r="E4" s="35"/>
      <c r="F4" s="35"/>
      <c r="G4" s="35"/>
      <c r="H4" s="36"/>
      <c r="I4" s="40" t="s">
        <v>3</v>
      </c>
      <c r="J4" s="41"/>
      <c r="K4" s="34" t="s">
        <v>4</v>
      </c>
      <c r="L4" s="36"/>
      <c r="M4" s="47" t="s">
        <v>5</v>
      </c>
      <c r="N4" s="47"/>
      <c r="O4" s="40" t="s">
        <v>16</v>
      </c>
      <c r="P4" s="41"/>
      <c r="Q4" s="40" t="s">
        <v>17</v>
      </c>
      <c r="R4" s="41"/>
    </row>
    <row r="5" spans="1:18" x14ac:dyDescent="0.15">
      <c r="A5" s="31"/>
      <c r="B5" s="33"/>
      <c r="C5" s="37"/>
      <c r="D5" s="38"/>
      <c r="E5" s="38"/>
      <c r="F5" s="38"/>
      <c r="G5" s="38"/>
      <c r="H5" s="39"/>
      <c r="I5" s="48"/>
      <c r="J5" s="49"/>
      <c r="K5" s="37"/>
      <c r="L5" s="39"/>
      <c r="M5">
        <f>SQRT(SUMXMY2(O7:P7,M7:N7))</f>
        <v>599.9919957907789</v>
      </c>
      <c r="N5">
        <f>SQRT(SUMXMY2(K7:L7,O7:P7))</f>
        <v>799.96856406798861</v>
      </c>
      <c r="O5" s="48"/>
      <c r="P5" s="49"/>
      <c r="Q5" s="48"/>
      <c r="R5" s="49"/>
    </row>
    <row r="6" spans="1:18" x14ac:dyDescent="0.15">
      <c r="A6" s="11"/>
      <c r="B6" s="24"/>
      <c r="C6" s="12"/>
      <c r="D6" s="13"/>
      <c r="E6" s="13"/>
      <c r="F6" s="13"/>
      <c r="G6" s="13"/>
      <c r="H6" s="13"/>
      <c r="I6" s="23" t="s">
        <v>6</v>
      </c>
      <c r="J6" s="23" t="s">
        <v>7</v>
      </c>
      <c r="K6" s="2" t="s">
        <v>8</v>
      </c>
      <c r="L6" s="2" t="s">
        <v>9</v>
      </c>
      <c r="M6" s="23" t="s">
        <v>8</v>
      </c>
      <c r="N6" s="23" t="s">
        <v>9</v>
      </c>
      <c r="O6" s="23" t="s">
        <v>8</v>
      </c>
      <c r="P6" s="23" t="s">
        <v>9</v>
      </c>
      <c r="Q6" s="23" t="s">
        <v>8</v>
      </c>
      <c r="R6" s="23" t="s">
        <v>9</v>
      </c>
    </row>
    <row r="7" spans="1:18" x14ac:dyDescent="0.15">
      <c r="A7" s="27"/>
      <c r="B7" s="28" t="s">
        <v>37</v>
      </c>
      <c r="C7" s="28">
        <f>ROUND(ABS(P7-L7)/J7,6)</f>
        <v>5.8888000000000003E-2</v>
      </c>
      <c r="D7" s="28">
        <f>ROUNDDOWN((O7-H7)/J7,6)</f>
        <v>-2.0930000000000001E-2</v>
      </c>
      <c r="E7" s="28">
        <f>ROUNDDOWN((R7-G7)/I7,6)</f>
        <v>-2.0931000000000002E-2</v>
      </c>
      <c r="F7" s="28">
        <f>ROUND(-ABS(Q7-K7)/I7,6)</f>
        <v>-5.8889999999999998E-2</v>
      </c>
      <c r="G7" s="28">
        <f>L7</f>
        <v>-24555.14</v>
      </c>
      <c r="H7" s="28">
        <f>K7</f>
        <v>-35973.637000000002</v>
      </c>
      <c r="I7" s="29">
        <v>9600</v>
      </c>
      <c r="J7" s="26">
        <v>12800</v>
      </c>
      <c r="K7" s="26">
        <v>-35973.637000000002</v>
      </c>
      <c r="L7" s="26">
        <v>-24555.14</v>
      </c>
      <c r="M7" s="26">
        <v>-36806.896000000001</v>
      </c>
      <c r="N7" s="26">
        <v>-24002.311000000002</v>
      </c>
      <c r="O7" s="26">
        <v>-36241.553</v>
      </c>
      <c r="P7" s="26">
        <v>-23801.368999999999</v>
      </c>
      <c r="Q7" s="26">
        <v>-36538.983</v>
      </c>
      <c r="R7" s="26">
        <v>-24756.084999999999</v>
      </c>
    </row>
  </sheetData>
  <mergeCells count="8">
    <mergeCell ref="M4:N4"/>
    <mergeCell ref="O4:P5"/>
    <mergeCell ref="Q4:R5"/>
    <mergeCell ref="A4:A5"/>
    <mergeCell ref="B4:B5"/>
    <mergeCell ref="C4:H5"/>
    <mergeCell ref="I4:J5"/>
    <mergeCell ref="K4:L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1"/>
  <sheetViews>
    <sheetView workbookViewId="0">
      <selection activeCell="A2" sqref="A2"/>
    </sheetView>
  </sheetViews>
  <sheetFormatPr defaultRowHeight="18.75" x14ac:dyDescent="0.15"/>
  <cols>
    <col min="1" max="1" width="18.875" style="17" bestFit="1" customWidth="1"/>
    <col min="2" max="2" width="17.75" style="17" customWidth="1"/>
    <col min="3" max="3" width="13.75" style="17" bestFit="1" customWidth="1"/>
    <col min="4" max="4" width="9" style="17"/>
    <col min="5" max="5" width="21.5" style="17" bestFit="1" customWidth="1"/>
    <col min="6" max="6" width="16" style="17" customWidth="1"/>
    <col min="7" max="16384" width="9" style="17"/>
  </cols>
  <sheetData>
    <row r="1" spans="1:25" x14ac:dyDescent="0.15">
      <c r="A1" s="21" t="s">
        <v>36</v>
      </c>
      <c r="B1" s="17" t="s">
        <v>37</v>
      </c>
      <c r="E1" s="21" t="s">
        <v>36</v>
      </c>
      <c r="F1" s="21" t="s">
        <v>35</v>
      </c>
      <c r="G1" s="21" t="s">
        <v>33</v>
      </c>
      <c r="H1" s="21" t="s">
        <v>31</v>
      </c>
      <c r="I1" s="21" t="s">
        <v>29</v>
      </c>
      <c r="J1" s="21" t="s">
        <v>27</v>
      </c>
      <c r="K1" s="21" t="s">
        <v>25</v>
      </c>
      <c r="L1" s="21" t="s">
        <v>280</v>
      </c>
      <c r="M1" s="21" t="s">
        <v>281</v>
      </c>
      <c r="N1" s="20" t="s">
        <v>23</v>
      </c>
      <c r="O1" s="20" t="s">
        <v>22</v>
      </c>
      <c r="P1" s="20" t="s">
        <v>21</v>
      </c>
      <c r="Q1" s="20" t="s">
        <v>279</v>
      </c>
      <c r="R1" s="21" t="s">
        <v>20</v>
      </c>
      <c r="S1" s="21" t="s">
        <v>19</v>
      </c>
      <c r="T1" s="20" t="s">
        <v>34</v>
      </c>
      <c r="U1" s="20" t="s">
        <v>32</v>
      </c>
      <c r="V1" s="20" t="s">
        <v>30</v>
      </c>
      <c r="W1" s="20" t="s">
        <v>28</v>
      </c>
      <c r="X1" s="20" t="s">
        <v>26</v>
      </c>
      <c r="Y1" s="20" t="s">
        <v>24</v>
      </c>
    </row>
    <row r="2" spans="1:25" x14ac:dyDescent="0.15">
      <c r="A2" s="21" t="s">
        <v>35</v>
      </c>
      <c r="B2" s="17">
        <v>-35973.637000000002</v>
      </c>
      <c r="E2" s="17" t="s">
        <v>37</v>
      </c>
      <c r="F2" s="17">
        <v>-35973.637000000002</v>
      </c>
      <c r="G2" s="17">
        <v>-24555.14</v>
      </c>
      <c r="H2" s="17">
        <v>-36241.553</v>
      </c>
      <c r="I2" s="17">
        <v>-23801.368999999999</v>
      </c>
      <c r="J2" s="17">
        <v>-36806.896000000001</v>
      </c>
      <c r="K2" s="17">
        <v>-24002.311000000002</v>
      </c>
      <c r="L2" s="17">
        <v>-36538.983</v>
      </c>
      <c r="M2" s="17">
        <v>-24756.084999999999</v>
      </c>
      <c r="N2" s="18">
        <f>SQRT(SUMXMY2(F2:G2,H2:I2))</f>
        <v>799.96856406798861</v>
      </c>
      <c r="O2" s="18">
        <f>SQRT(SUMXMY2(H2:I2,J2:K2))</f>
        <v>599.9919957907789</v>
      </c>
      <c r="P2" s="18">
        <f>DEGREES(ATAN2(I2-G2,H2-F2))</f>
        <v>-19.566953311407513</v>
      </c>
      <c r="Q2" s="18">
        <f>DEGREES(ATAN2(M2-G2,L2-F2))</f>
        <v>-109.56710546965539</v>
      </c>
      <c r="R2" s="17">
        <v>12800</v>
      </c>
      <c r="S2" s="17">
        <v>9600</v>
      </c>
      <c r="T2" s="17">
        <f>ROUND(ABS(I2-G2)/R2,6)</f>
        <v>5.8888000000000003E-2</v>
      </c>
      <c r="U2" s="17">
        <f>(H2-Y2)/R2</f>
        <v>-2.0930937499999799E-2</v>
      </c>
      <c r="V2" s="17">
        <f>(M2-X2)/S2</f>
        <v>-2.0931770833333304E-2</v>
      </c>
      <c r="W2" s="17">
        <f>ROUND(-ABS(L2-F2)/S2,6)</f>
        <v>-5.8889999999999998E-2</v>
      </c>
      <c r="X2" s="17">
        <f>G2</f>
        <v>-24555.14</v>
      </c>
      <c r="Y2" s="17">
        <f>F2</f>
        <v>-35973.637000000002</v>
      </c>
    </row>
    <row r="3" spans="1:25" x14ac:dyDescent="0.15">
      <c r="A3" s="21" t="s">
        <v>33</v>
      </c>
      <c r="B3" s="17">
        <v>-24555.14</v>
      </c>
    </row>
    <row r="4" spans="1:25" x14ac:dyDescent="0.15">
      <c r="A4" s="21" t="s">
        <v>31</v>
      </c>
      <c r="B4" s="17">
        <v>-36241.553</v>
      </c>
    </row>
    <row r="5" spans="1:25" x14ac:dyDescent="0.15">
      <c r="A5" s="21" t="s">
        <v>29</v>
      </c>
      <c r="B5" s="17">
        <v>-23801.368999999999</v>
      </c>
    </row>
    <row r="6" spans="1:25" x14ac:dyDescent="0.15">
      <c r="A6" s="21" t="s">
        <v>27</v>
      </c>
      <c r="B6" s="17">
        <v>-36806.896000000001</v>
      </c>
    </row>
    <row r="7" spans="1:25" x14ac:dyDescent="0.15">
      <c r="A7" s="21" t="s">
        <v>25</v>
      </c>
      <c r="B7" s="17">
        <v>-24002.311000000002</v>
      </c>
    </row>
    <row r="8" spans="1:25" x14ac:dyDescent="0.15">
      <c r="A8" s="21" t="s">
        <v>280</v>
      </c>
      <c r="B8" s="17">
        <v>-36538.983</v>
      </c>
    </row>
    <row r="9" spans="1:25" x14ac:dyDescent="0.15">
      <c r="A9" s="21" t="s">
        <v>281</v>
      </c>
      <c r="B9" s="17">
        <v>-24756.084999999999</v>
      </c>
    </row>
    <row r="10" spans="1:25" x14ac:dyDescent="0.15">
      <c r="A10" s="20" t="s">
        <v>23</v>
      </c>
      <c r="B10" s="18">
        <f>SQRT(SUMXMY2(B2:B3,B4:B5))</f>
        <v>799.96856406798861</v>
      </c>
    </row>
    <row r="11" spans="1:25" x14ac:dyDescent="0.15">
      <c r="A11" s="20" t="s">
        <v>22</v>
      </c>
      <c r="B11" s="18">
        <f>SQRT(SUMXMY2(B4:B5,B6:B7))</f>
        <v>599.9919957907789</v>
      </c>
    </row>
    <row r="12" spans="1:25" x14ac:dyDescent="0.15">
      <c r="A12" s="20" t="s">
        <v>21</v>
      </c>
      <c r="B12" s="18">
        <f>DEGREES(ATAN2(B5-B3,B4-B2))</f>
        <v>-19.566953311407513</v>
      </c>
      <c r="F12" s="25"/>
    </row>
    <row r="13" spans="1:25" x14ac:dyDescent="0.15">
      <c r="A13" s="20" t="s">
        <v>279</v>
      </c>
      <c r="B13" s="18">
        <f>DEGREES(ATAN2(B9-B3,B8-B2))</f>
        <v>-109.56710546965539</v>
      </c>
    </row>
    <row r="14" spans="1:25" x14ac:dyDescent="0.15">
      <c r="A14" s="21" t="s">
        <v>20</v>
      </c>
      <c r="B14" s="17">
        <v>12800</v>
      </c>
    </row>
    <row r="15" spans="1:25" x14ac:dyDescent="0.15">
      <c r="A15" s="21" t="s">
        <v>19</v>
      </c>
      <c r="B15" s="17">
        <v>9600</v>
      </c>
    </row>
    <row r="16" spans="1:25" x14ac:dyDescent="0.15">
      <c r="A16" s="20" t="s">
        <v>34</v>
      </c>
      <c r="B16" s="17">
        <f>ROUND(ABS(B5-B3)/B14,6)</f>
        <v>5.8888000000000003E-2</v>
      </c>
      <c r="C16" s="17">
        <v>5.8888999999999997E-2</v>
      </c>
    </row>
    <row r="17" spans="1:5" x14ac:dyDescent="0.15">
      <c r="A17" s="20" t="s">
        <v>32</v>
      </c>
      <c r="B17" s="17">
        <f>(B4-B21)/B14</f>
        <v>-2.0930937499999799E-2</v>
      </c>
      <c r="C17" s="17">
        <v>-2.1234869839000001E-2</v>
      </c>
      <c r="E17" s="22"/>
    </row>
    <row r="18" spans="1:5" x14ac:dyDescent="0.15">
      <c r="A18" s="20" t="s">
        <v>30</v>
      </c>
      <c r="B18" s="17">
        <f>(B9-B20)/B15</f>
        <v>-2.0931770833333304E-2</v>
      </c>
      <c r="C18" s="17">
        <v>-2.1290669892E-2</v>
      </c>
    </row>
    <row r="19" spans="1:5" x14ac:dyDescent="0.15">
      <c r="A19" s="20" t="s">
        <v>28</v>
      </c>
      <c r="B19" s="17">
        <f>ROUND(-ABS(B8-B2)/B15,6)</f>
        <v>-5.8889999999999998E-2</v>
      </c>
      <c r="C19" s="17">
        <v>-5.8889999999999998E-2</v>
      </c>
    </row>
    <row r="20" spans="1:5" x14ac:dyDescent="0.15">
      <c r="A20" s="20" t="s">
        <v>26</v>
      </c>
      <c r="B20" s="17">
        <f>B3</f>
        <v>-24555.14</v>
      </c>
      <c r="C20" s="17">
        <v>-24555.14</v>
      </c>
    </row>
    <row r="21" spans="1:5" x14ac:dyDescent="0.15">
      <c r="A21" s="20" t="s">
        <v>24</v>
      </c>
      <c r="B21" s="17">
        <f>B2</f>
        <v>-35973.637000000002</v>
      </c>
      <c r="C21" s="17">
        <v>-35973.637000000002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TFW作成</vt:lpstr>
      <vt:lpstr>入力例</vt:lpstr>
      <vt:lpstr>角度計算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張田</dc:creator>
  <cp:lastModifiedBy>user01</cp:lastModifiedBy>
  <dcterms:created xsi:type="dcterms:W3CDTF">2019-01-29T03:33:01Z</dcterms:created>
  <dcterms:modified xsi:type="dcterms:W3CDTF">2020-06-19T05:53:36Z</dcterms:modified>
</cp:coreProperties>
</file>